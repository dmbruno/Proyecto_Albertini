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LACTEOS CERUTTI SRL\Pedidos\"/>
    </mc:Choice>
  </mc:AlternateContent>
  <xr:revisionPtr revIDLastSave="0" documentId="13_ncr:1_{6BF8FA83-EC94-469C-B7AC-AD9DEEC4918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lanco" sheetId="1" r:id="rId1"/>
    <sheet name="QUESOS" sheetId="3" r:id="rId2"/>
    <sheet name="9-6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2" l="1"/>
  <c r="D81" i="2"/>
  <c r="D23" i="2"/>
  <c r="D22" i="2"/>
  <c r="F23" i="2" l="1"/>
  <c r="F22" i="2"/>
  <c r="F21" i="2"/>
  <c r="D21" i="2"/>
  <c r="F20" i="2"/>
  <c r="D20" i="2"/>
  <c r="F19" i="2"/>
  <c r="D19" i="2"/>
  <c r="M33" i="2"/>
  <c r="K33" i="2"/>
  <c r="F74" i="2"/>
  <c r="D74" i="2"/>
  <c r="M74" i="2"/>
  <c r="K74" i="2"/>
  <c r="M10" i="2"/>
  <c r="K10" i="2"/>
  <c r="M66" i="2"/>
  <c r="K66" i="2"/>
  <c r="M67" i="2"/>
  <c r="M65" i="2"/>
  <c r="K65" i="2"/>
  <c r="M64" i="2"/>
  <c r="K64" i="2"/>
  <c r="F57" i="2"/>
  <c r="F44" i="2" l="1"/>
  <c r="F43" i="2"/>
  <c r="K54" i="2"/>
  <c r="K53" i="2"/>
  <c r="K52" i="2"/>
  <c r="M56" i="2"/>
  <c r="M55" i="2"/>
  <c r="K55" i="2"/>
  <c r="M54" i="2"/>
  <c r="M53" i="2"/>
  <c r="M52" i="2"/>
  <c r="D7" i="3"/>
  <c r="D6" i="3"/>
  <c r="D5" i="3"/>
  <c r="D4" i="3"/>
  <c r="D3" i="3"/>
  <c r="D64" i="2"/>
  <c r="F64" i="2"/>
  <c r="D34" i="2"/>
  <c r="D33" i="2"/>
  <c r="D32" i="2"/>
  <c r="F56" i="2"/>
  <c r="M45" i="2"/>
  <c r="M44" i="2"/>
  <c r="K44" i="2"/>
  <c r="M43" i="2"/>
  <c r="K43" i="2"/>
  <c r="M42" i="2"/>
  <c r="K42" i="2"/>
  <c r="M41" i="2"/>
  <c r="K41" i="2"/>
  <c r="F55" i="2"/>
  <c r="D55" i="2"/>
  <c r="F54" i="2"/>
  <c r="D54" i="2"/>
  <c r="F53" i="2"/>
  <c r="D53" i="2"/>
  <c r="F52" i="2"/>
  <c r="D52" i="2"/>
  <c r="D44" i="2"/>
  <c r="D43" i="2"/>
  <c r="D42" i="2"/>
  <c r="D41" i="2"/>
  <c r="F45" i="2"/>
  <c r="F42" i="2"/>
  <c r="F41" i="2"/>
  <c r="M32" i="2" l="1"/>
  <c r="K32" i="2"/>
  <c r="F34" i="2"/>
  <c r="F33" i="2"/>
  <c r="F32" i="2"/>
  <c r="C88" i="2" l="1"/>
  <c r="B88" i="2"/>
  <c r="F10" i="2" l="1"/>
  <c r="D10" i="2"/>
  <c r="D88" i="2" s="1"/>
  <c r="J7" i="3" l="1"/>
  <c r="F7" i="3"/>
  <c r="J4" i="3" l="1"/>
  <c r="J5" i="3"/>
  <c r="J6" i="3"/>
  <c r="J3" i="3"/>
  <c r="F6" i="3"/>
  <c r="F5" i="3"/>
  <c r="F4" i="3"/>
  <c r="F3" i="3"/>
  <c r="E88" i="2" l="1"/>
</calcChain>
</file>

<file path=xl/sharedStrings.xml><?xml version="1.0" encoding="utf-8"?>
<sst xmlns="http://schemas.openxmlformats.org/spreadsheetml/2006/main" count="648" uniqueCount="155">
  <si>
    <t>ZAIDA BALDIVIEZO</t>
  </si>
  <si>
    <t>GAMARRA HUGO LEANDRO</t>
  </si>
  <si>
    <t>CUIT: 27-14192517-8</t>
  </si>
  <si>
    <t>CUIT: 20-29647010-5</t>
  </si>
  <si>
    <t>AV BRASIL ESQ ECUADOR - SAN PEDRO DE JUJUY</t>
  </si>
  <si>
    <t>Isabel la Catolica 114 - B° 12 de Octubre - Jujuy</t>
  </si>
  <si>
    <t>ENTREGA: DIRECTO AL CLIENTE</t>
  </si>
  <si>
    <t>FACTURA</t>
  </si>
  <si>
    <t>REMITO</t>
  </si>
  <si>
    <t>PRODUCTOS</t>
  </si>
  <si>
    <t>PALLET</t>
  </si>
  <si>
    <t>CAJAS</t>
  </si>
  <si>
    <t>PIEZAS</t>
  </si>
  <si>
    <t>PREC FINAL</t>
  </si>
  <si>
    <t>PREC SIN IVA</t>
  </si>
  <si>
    <t>BARRA LC</t>
  </si>
  <si>
    <t>ANDINO</t>
  </si>
  <si>
    <t>ENTREGA: REDESPACHO SALTA</t>
  </si>
  <si>
    <t>FIAMBRERIA RIERA</t>
  </si>
  <si>
    <t>ZENTENO GARCIA, Ever Arnaldo</t>
  </si>
  <si>
    <t>Avda Catedral Basilica B° Santa Ana</t>
  </si>
  <si>
    <t>Cordoba 741 - SALTA</t>
  </si>
  <si>
    <t>RODRIGUEZ, MATIAS</t>
  </si>
  <si>
    <t>LACOUR, MATIAS</t>
  </si>
  <si>
    <t>Santa Fe 1112 - SALTA</t>
  </si>
  <si>
    <t>SAMIN MQ SRL</t>
  </si>
  <si>
    <t>San Martin 1205 - SALTA</t>
  </si>
  <si>
    <t>CORBALAN NATALIA</t>
  </si>
  <si>
    <t>PUEYRREDON 6 - SALTA</t>
  </si>
  <si>
    <t>MATINE SRL</t>
  </si>
  <si>
    <t>REMENTERIA DANIEL</t>
  </si>
  <si>
    <t>Ituzaingo 196 - SALTA</t>
  </si>
  <si>
    <t>JUJUY</t>
  </si>
  <si>
    <t>ALBERTINI</t>
  </si>
  <si>
    <t>SALTA</t>
  </si>
  <si>
    <t>SAN SALVADOR DE JUJUY</t>
  </si>
  <si>
    <t>SAN PEDRO - JUJUY</t>
  </si>
  <si>
    <t>REDESPACHO SALTA</t>
  </si>
  <si>
    <t>Gorriti 807</t>
  </si>
  <si>
    <t>San Martin 1244</t>
  </si>
  <si>
    <t>CREMOSO LC</t>
  </si>
  <si>
    <t>SARDO SEMI ENV LC</t>
  </si>
  <si>
    <t>SARDO FRESCO ENV LC</t>
  </si>
  <si>
    <t>METAN - SALTA</t>
  </si>
  <si>
    <t>SALTA DIRECTO CLIENTE (PRECIO SIN REDESPACHO)</t>
  </si>
  <si>
    <t>PISTONI, JULIO RAMON</t>
  </si>
  <si>
    <t>ABASTECEDORA DEL VALLE S. A. S</t>
  </si>
  <si>
    <t>CUIT: 20-08283504-1</t>
  </si>
  <si>
    <t>Mitre oeste 150 - Metan - Salta</t>
  </si>
  <si>
    <t>MANZANA 529 B CASA 15 M:529 B - BARRIO : EL HUAICO - SALTA</t>
  </si>
  <si>
    <t>ENTREGA: LOS INFERNALES 1491</t>
  </si>
  <si>
    <t>CISTERNA LILIANA BLANCA</t>
  </si>
  <si>
    <t>CUIT: 27-11080639-1</t>
  </si>
  <si>
    <t>Av. Peron 90 (frente  al gnc entrada vieja)</t>
  </si>
  <si>
    <t>GUEMES - SALTA</t>
  </si>
  <si>
    <t>TORRECILLAS, PEDRO</t>
  </si>
  <si>
    <t>Avda. C Gardel esq. 20 de febrero</t>
  </si>
  <si>
    <t>LE FAVI, FRANCO</t>
  </si>
  <si>
    <t>CUIT: 20-35929983-5</t>
  </si>
  <si>
    <t>Pedro Pardo 381 - Salta</t>
  </si>
  <si>
    <t>1902 SAS</t>
  </si>
  <si>
    <t>CUIT: 33-71857253-9</t>
  </si>
  <si>
    <t>Mendoza 695 - Salta</t>
  </si>
  <si>
    <t>PEDIDO:</t>
  </si>
  <si>
    <t>LISTA DE PRECIOS:</t>
  </si>
  <si>
    <t>EL PROVEEDOR SRL</t>
  </si>
  <si>
    <t>Miguel Ragone 498 - SALTA</t>
  </si>
  <si>
    <t>LA JULITA SAS</t>
  </si>
  <si>
    <t>ANTONINO SRL</t>
  </si>
  <si>
    <t>Avda. del Libano 956 - B° Casino</t>
  </si>
  <si>
    <t>SEMA DISTRIBUIDORA SAS</t>
  </si>
  <si>
    <t>Gabriel Guemes 461 - SALTA</t>
  </si>
  <si>
    <t>QUIROGA ROBLES, Facundo Martin</t>
  </si>
  <si>
    <t>MZA 751 4 - BARRIO : AMP. STA ANA II - SALTA</t>
  </si>
  <si>
    <t>CUIT: 20-42502996-8</t>
  </si>
  <si>
    <t>YAMPA, HECTOR MARCELO NICOLAS</t>
  </si>
  <si>
    <t>CASA 28 M:H - BARRIO : 15 DE FEBRERO - SALTA</t>
  </si>
  <si>
    <t>FERNANDEZ, Anibal</t>
  </si>
  <si>
    <t>CUIT: 20-30636102-4</t>
  </si>
  <si>
    <t>CUIT: 20-32365568-6</t>
  </si>
  <si>
    <t>CUIT: 33-71884159-9</t>
  </si>
  <si>
    <t>CUIT: 20-20172937-9</t>
  </si>
  <si>
    <t>CUIT: 20-32804493-6</t>
  </si>
  <si>
    <t>CUIT: 20-29409766-0</t>
  </si>
  <si>
    <t>CUIT: 30-71627523-6</t>
  </si>
  <si>
    <t>CUIT: 23-27096323-4</t>
  </si>
  <si>
    <t>CUIT: 20-35194237-2</t>
  </si>
  <si>
    <t>CUIT: 27-13684700-2</t>
  </si>
  <si>
    <t>CUIT: 30-71646269-9</t>
  </si>
  <si>
    <t>CUIT: 33-71747531-9</t>
  </si>
  <si>
    <t>CUIT: 30-71047168-8</t>
  </si>
  <si>
    <t>CUIT: 33-71850190-9</t>
  </si>
  <si>
    <t>CUIT: 20-14085185-0</t>
  </si>
  <si>
    <t>CUIT: 30-71212983-9</t>
  </si>
  <si>
    <t>CUIT: 30-71774372-1</t>
  </si>
  <si>
    <t>MZ. 16 - CASA 1 - BARRIO : LOTEO PUEBLO ATOCHA - SALTA</t>
  </si>
  <si>
    <t>CUIT: 20-38739221-2</t>
  </si>
  <si>
    <t>FLORES GARCIA, Tania Patricia</t>
  </si>
  <si>
    <t>CUIT: 27-37088126-5</t>
  </si>
  <si>
    <t xml:space="preserve">TOTAL </t>
  </si>
  <si>
    <t>KGS.</t>
  </si>
  <si>
    <t>FRANJA SAS</t>
  </si>
  <si>
    <t>CUIT 30-71888754-9</t>
  </si>
  <si>
    <t>Belgrano 635 Dpto 14 - SALTA</t>
  </si>
  <si>
    <t>MORMINA, MARIANO LEONEL</t>
  </si>
  <si>
    <t>CUIT 20-39209793-8</t>
  </si>
  <si>
    <t>Ruta 23, Km. 3, Lote 18 - SALTA</t>
  </si>
  <si>
    <t>CUIT: 27-35783255-7</t>
  </si>
  <si>
    <t>GRUPO 480 BLOCK D PISO 3 DEPTO 78 - SALTA</t>
  </si>
  <si>
    <t>EGUIAS, MARIA SOLEDAD (SEMA)</t>
  </si>
  <si>
    <t>CUIT 20-36803912-9</t>
  </si>
  <si>
    <t>ESPINOZA, LEONEL DAVID</t>
  </si>
  <si>
    <t>CUIT 20-22701708-3</t>
  </si>
  <si>
    <t>SALAS, SILVIO RICARDO</t>
  </si>
  <si>
    <t>B° VIRGEN DEL ROSARIO DE SAN NICOLAS MZ 10 - SALTA</t>
  </si>
  <si>
    <t>Carmen Salas 1075 - SALTA</t>
  </si>
  <si>
    <t>Queso</t>
  </si>
  <si>
    <t>Pallet</t>
  </si>
  <si>
    <t>Cajas</t>
  </si>
  <si>
    <t>Total</t>
  </si>
  <si>
    <t>Caja</t>
  </si>
  <si>
    <t>Unidades Pallet</t>
  </si>
  <si>
    <t>Precio Final</t>
  </si>
  <si>
    <t>Neto</t>
  </si>
  <si>
    <t>LISTA</t>
  </si>
  <si>
    <t>MOZZARELLA</t>
  </si>
  <si>
    <t>DYLOSALTA SAS</t>
  </si>
  <si>
    <t>PRADO, LUIS</t>
  </si>
  <si>
    <t>CUIT 20-36129429-8</t>
  </si>
  <si>
    <t>PABLO SANZ</t>
  </si>
  <si>
    <t>CUIT 20-40113686-7</t>
  </si>
  <si>
    <t>CANCINOS</t>
  </si>
  <si>
    <t>CUIT 20-14176646-6</t>
  </si>
  <si>
    <t>CUIT 30-71792655-9</t>
  </si>
  <si>
    <t>ROMERO, LUIS</t>
  </si>
  <si>
    <t>CUIT 20-41811266-3</t>
  </si>
  <si>
    <t>B° Santa Clara de Asis - Mza 2 Casa 16</t>
  </si>
  <si>
    <t>FERREYRA, INDIRA ROCIO</t>
  </si>
  <si>
    <t>CUIT 27-31948309-3</t>
  </si>
  <si>
    <t>BALCARCE 525 - SALTA</t>
  </si>
  <si>
    <t>PORSALUT CON SAL LC</t>
  </si>
  <si>
    <t>HOLANDA ESTACIONADOS LC</t>
  </si>
  <si>
    <t>SALTA DIRECTO CLIENTE (PRECIO SIN REDESPACHO) SE PUEDE ENTREGAR DE 8 A 15 HS.</t>
  </si>
  <si>
    <t>REDESPACHO SALTA - SE PUEDE ENTREGAR DE 7 A 17 HS.</t>
  </si>
  <si>
    <t>SARDO FRESCO PINT LC</t>
  </si>
  <si>
    <t>TARROS DE CREMA 3 KGS</t>
  </si>
  <si>
    <t xml:space="preserve">PROVOLETA </t>
  </si>
  <si>
    <t>CORAZÓN DE SARDO (9KG Y 3 AÑOS EST)</t>
  </si>
  <si>
    <t>B&amp;G SRL</t>
  </si>
  <si>
    <t>CUIT 30-71446463-5</t>
  </si>
  <si>
    <t>Cordoba 523 - SALTA</t>
  </si>
  <si>
    <t>SALTA DIRECTO CLIENTE (PRECIO SIN REDESPACHO) SE PUEDE ENTREGAR DE 13 A 15 HS.</t>
  </si>
  <si>
    <t>TARROS DE CREMA 4,5 KGS</t>
  </si>
  <si>
    <t>HARO RODRIGUEZ, SOFIA</t>
  </si>
  <si>
    <t>CUIT 27-36802197-6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</si>
</sst>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\-mm\-yy;@"/>
    <numFmt numFmtId="165" formatCode="d/m/yy;@"/>
  </numFmts>
  <fonts count="25" x14ac:knownFonts="1">
    <font>
      <sz val="10"/>
      <color rgb="FF000000"/>
      <name val="Arial"/>
      <scheme val="minor"/>
    </font>
    <font>
      <b/>
      <sz val="16"/>
      <color rgb="FFFFFFFF"/>
      <name val="Calibri"/>
      <family val="2"/>
    </font>
    <font>
      <b/>
      <sz val="14"/>
      <color theme="0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4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3"/>
      <color theme="0"/>
      <name val="Calibri"/>
      <family val="2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rgb="FFFFFFFF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2"/>
      <color rgb="FFFFFFFF"/>
      <name val="Calibri"/>
      <family val="2"/>
    </font>
    <font>
      <sz val="12"/>
      <name val="Arial"/>
      <family val="2"/>
    </font>
    <font>
      <sz val="13"/>
      <color theme="0"/>
      <name val="Calibri"/>
      <family val="2"/>
    </font>
    <font>
      <sz val="13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 tint="0.34998626667073579"/>
        <bgColor rgb="FFFFFFFF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68">
    <xf numFmtId="0" fontId="0" fillId="0" borderId="0" xfId="0"/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44" fontId="11" fillId="4" borderId="5" xfId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vertical="center"/>
    </xf>
    <xf numFmtId="43" fontId="0" fillId="0" borderId="5" xfId="2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vertical="center"/>
    </xf>
    <xf numFmtId="0" fontId="10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44" fontId="11" fillId="4" borderId="0" xfId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64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25"/>
  <sheetViews>
    <sheetView topLeftCell="A110" workbookViewId="0">
      <selection activeCell="H127" sqref="H127:M131"/>
    </sheetView>
  </sheetViews>
  <sheetFormatPr baseColWidth="10" defaultColWidth="12.5546875" defaultRowHeight="13.2" x14ac:dyDescent="0.25"/>
  <cols>
    <col min="1" max="1" width="27" style="2" bestFit="1" customWidth="1"/>
    <col min="2" max="2" width="8.33203125" style="2" bestFit="1" customWidth="1"/>
    <col min="3" max="3" width="7.44140625" style="2" bestFit="1" customWidth="1"/>
    <col min="4" max="4" width="8.109375" style="2" bestFit="1" customWidth="1"/>
    <col min="5" max="5" width="14.109375" style="2" bestFit="1" customWidth="1"/>
    <col min="6" max="6" width="14.5546875" style="2" bestFit="1" customWidth="1"/>
    <col min="7" max="7" width="1" style="2" customWidth="1"/>
    <col min="8" max="8" width="29.33203125" style="2" bestFit="1" customWidth="1"/>
    <col min="9" max="9" width="8.33203125" style="2" bestFit="1" customWidth="1"/>
    <col min="10" max="10" width="7.44140625" style="2" bestFit="1" customWidth="1"/>
    <col min="11" max="11" width="8.109375" style="2" bestFit="1" customWidth="1"/>
    <col min="12" max="12" width="14.109375" style="2" bestFit="1" customWidth="1"/>
    <col min="13" max="13" width="14.5546875" style="2" bestFit="1" customWidth="1"/>
    <col min="14" max="14" width="2.109375" style="2" customWidth="1"/>
    <col min="15" max="15" width="21" style="2" bestFit="1" customWidth="1"/>
    <col min="16" max="20" width="12.5546875" style="2"/>
    <col min="21" max="21" width="1.88671875" style="2" customWidth="1"/>
    <col min="22" max="16384" width="12.5546875" style="2"/>
  </cols>
  <sheetData>
    <row r="1" spans="1:13" ht="21" x14ac:dyDescent="0.25">
      <c r="A1" s="55" t="s">
        <v>63</v>
      </c>
      <c r="B1" s="56"/>
      <c r="C1" s="56"/>
      <c r="D1" s="57"/>
      <c r="E1" s="57"/>
      <c r="F1" s="57"/>
      <c r="G1" s="1"/>
      <c r="H1" s="55" t="s">
        <v>64</v>
      </c>
      <c r="I1" s="56"/>
      <c r="J1" s="56"/>
      <c r="K1" s="57"/>
      <c r="L1" s="57"/>
      <c r="M1" s="57"/>
    </row>
    <row r="2" spans="1:13" ht="3.75" customHeight="1" x14ac:dyDescent="0.25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18" x14ac:dyDescent="0.25">
      <c r="A3" s="41" t="s">
        <v>36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3"/>
    </row>
    <row r="4" spans="1:13" ht="3.75" customHeight="1" x14ac:dyDescent="0.25">
      <c r="A4" s="21"/>
    </row>
    <row r="5" spans="1:13" ht="18" x14ac:dyDescent="0.25">
      <c r="A5" s="45" t="s">
        <v>0</v>
      </c>
      <c r="B5" s="31"/>
      <c r="C5" s="31"/>
      <c r="D5" s="31"/>
      <c r="E5" s="31"/>
      <c r="F5" s="32"/>
      <c r="H5" s="30" t="s">
        <v>51</v>
      </c>
      <c r="I5" s="31"/>
      <c r="J5" s="31"/>
      <c r="K5" s="31"/>
      <c r="L5" s="31"/>
      <c r="M5" s="32"/>
    </row>
    <row r="6" spans="1:13" ht="14.4" x14ac:dyDescent="0.25">
      <c r="A6" s="40" t="s">
        <v>2</v>
      </c>
      <c r="B6" s="31"/>
      <c r="C6" s="31"/>
      <c r="D6" s="31"/>
      <c r="E6" s="31"/>
      <c r="F6" s="32"/>
      <c r="H6" s="40" t="s">
        <v>52</v>
      </c>
      <c r="I6" s="31"/>
      <c r="J6" s="31"/>
      <c r="K6" s="31"/>
      <c r="L6" s="31"/>
      <c r="M6" s="32"/>
    </row>
    <row r="7" spans="1:13" ht="14.4" x14ac:dyDescent="0.25">
      <c r="A7" s="33" t="s">
        <v>4</v>
      </c>
      <c r="B7" s="31"/>
      <c r="C7" s="31"/>
      <c r="D7" s="31"/>
      <c r="E7" s="31"/>
      <c r="F7" s="32"/>
      <c r="H7" s="40" t="s">
        <v>53</v>
      </c>
      <c r="I7" s="31"/>
      <c r="J7" s="31"/>
      <c r="K7" s="31"/>
      <c r="L7" s="31"/>
      <c r="M7" s="32"/>
    </row>
    <row r="8" spans="1:13" ht="14.4" x14ac:dyDescent="0.25">
      <c r="A8" s="33" t="s">
        <v>6</v>
      </c>
      <c r="B8" s="31"/>
      <c r="C8" s="32"/>
      <c r="D8" s="33" t="s">
        <v>7</v>
      </c>
      <c r="E8" s="31"/>
      <c r="F8" s="32"/>
      <c r="H8" s="33" t="s">
        <v>6</v>
      </c>
      <c r="I8" s="31"/>
      <c r="J8" s="32"/>
      <c r="K8" s="33" t="s">
        <v>8</v>
      </c>
      <c r="L8" s="31"/>
      <c r="M8" s="32"/>
    </row>
    <row r="9" spans="1:13" ht="17.399999999999999" x14ac:dyDescent="0.25">
      <c r="A9" s="3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H9" s="3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</row>
    <row r="10" spans="1:13" ht="3.75" customHeight="1" x14ac:dyDescent="0.25">
      <c r="B10" s="22"/>
      <c r="C10" s="22"/>
      <c r="D10" s="22"/>
    </row>
    <row r="11" spans="1:13" ht="18" x14ac:dyDescent="0.25">
      <c r="A11" s="44" t="s">
        <v>35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ht="3.75" customHeight="1" x14ac:dyDescent="0.25">
      <c r="B12" s="22"/>
      <c r="C12" s="22"/>
      <c r="D12" s="22"/>
    </row>
    <row r="13" spans="1:13" ht="18" x14ac:dyDescent="0.25">
      <c r="A13" s="30" t="s">
        <v>1</v>
      </c>
      <c r="B13" s="31"/>
      <c r="C13" s="31"/>
      <c r="D13" s="31"/>
      <c r="E13" s="31"/>
      <c r="F13" s="32"/>
      <c r="H13" s="30" t="s">
        <v>30</v>
      </c>
      <c r="I13" s="31"/>
      <c r="J13" s="31"/>
      <c r="K13" s="31"/>
      <c r="L13" s="31"/>
      <c r="M13" s="32"/>
    </row>
    <row r="14" spans="1:13" ht="14.4" x14ac:dyDescent="0.25">
      <c r="A14" s="40" t="s">
        <v>3</v>
      </c>
      <c r="B14" s="31"/>
      <c r="C14" s="31"/>
      <c r="D14" s="31"/>
      <c r="E14" s="31"/>
      <c r="F14" s="32"/>
      <c r="H14" s="33" t="s">
        <v>93</v>
      </c>
      <c r="I14" s="31"/>
      <c r="J14" s="31"/>
      <c r="K14" s="31"/>
      <c r="L14" s="31"/>
      <c r="M14" s="32"/>
    </row>
    <row r="15" spans="1:13" ht="14.4" x14ac:dyDescent="0.25">
      <c r="A15" s="40" t="s">
        <v>5</v>
      </c>
      <c r="B15" s="31"/>
      <c r="C15" s="31"/>
      <c r="D15" s="31"/>
      <c r="E15" s="31"/>
      <c r="F15" s="32"/>
      <c r="H15" s="33" t="s">
        <v>32</v>
      </c>
      <c r="I15" s="31"/>
      <c r="J15" s="31"/>
      <c r="K15" s="31"/>
      <c r="L15" s="31"/>
      <c r="M15" s="32"/>
    </row>
    <row r="16" spans="1:13" ht="14.4" x14ac:dyDescent="0.25">
      <c r="A16" s="33" t="s">
        <v>6</v>
      </c>
      <c r="B16" s="31"/>
      <c r="C16" s="32"/>
      <c r="D16" s="33" t="s">
        <v>8</v>
      </c>
      <c r="E16" s="31"/>
      <c r="F16" s="32"/>
      <c r="H16" s="33" t="s">
        <v>6</v>
      </c>
      <c r="I16" s="31"/>
      <c r="J16" s="32"/>
      <c r="K16" s="33" t="s">
        <v>7</v>
      </c>
      <c r="L16" s="31"/>
      <c r="M16" s="32"/>
    </row>
    <row r="17" spans="1:13" ht="17.399999999999999" x14ac:dyDescent="0.25">
      <c r="A17" s="3" t="s">
        <v>9</v>
      </c>
      <c r="B17" s="4" t="s">
        <v>10</v>
      </c>
      <c r="C17" s="4" t="s">
        <v>11</v>
      </c>
      <c r="D17" s="4" t="s">
        <v>12</v>
      </c>
      <c r="E17" s="4" t="s">
        <v>13</v>
      </c>
      <c r="F17" s="4" t="s">
        <v>14</v>
      </c>
      <c r="H17" s="3" t="s">
        <v>9</v>
      </c>
      <c r="I17" s="4" t="s">
        <v>10</v>
      </c>
      <c r="J17" s="4" t="s">
        <v>11</v>
      </c>
      <c r="K17" s="4" t="s">
        <v>12</v>
      </c>
      <c r="L17" s="4" t="s">
        <v>13</v>
      </c>
      <c r="M17" s="4" t="s">
        <v>14</v>
      </c>
    </row>
    <row r="18" spans="1:13" ht="3.75" customHeight="1" x14ac:dyDescent="0.25">
      <c r="B18" s="22"/>
      <c r="C18" s="22"/>
      <c r="D18" s="22"/>
    </row>
    <row r="19" spans="1:13" ht="18" x14ac:dyDescent="0.25">
      <c r="A19" s="37" t="s">
        <v>43</v>
      </c>
      <c r="B19" s="38"/>
      <c r="C19" s="38"/>
      <c r="D19" s="38"/>
      <c r="E19" s="38"/>
      <c r="F19" s="39"/>
      <c r="H19" s="37" t="s">
        <v>44</v>
      </c>
      <c r="I19" s="38"/>
      <c r="J19" s="38"/>
      <c r="K19" s="38"/>
      <c r="L19" s="38"/>
      <c r="M19" s="39"/>
    </row>
    <row r="20" spans="1:13" ht="3.75" customHeight="1" x14ac:dyDescent="0.25"/>
    <row r="21" spans="1:13" ht="18" x14ac:dyDescent="0.25">
      <c r="A21" s="45" t="s">
        <v>45</v>
      </c>
      <c r="B21" s="31"/>
      <c r="C21" s="31"/>
      <c r="D21" s="31"/>
      <c r="E21" s="31"/>
      <c r="F21" s="32"/>
      <c r="H21" s="30" t="s">
        <v>46</v>
      </c>
      <c r="I21" s="31"/>
      <c r="J21" s="31"/>
      <c r="K21" s="31"/>
      <c r="L21" s="31"/>
      <c r="M21" s="32"/>
    </row>
    <row r="22" spans="1:13" ht="14.4" x14ac:dyDescent="0.25">
      <c r="A22" s="40" t="s">
        <v>47</v>
      </c>
      <c r="B22" s="31"/>
      <c r="C22" s="31"/>
      <c r="D22" s="31"/>
      <c r="E22" s="31"/>
      <c r="F22" s="32"/>
      <c r="H22" s="33" t="s">
        <v>94</v>
      </c>
      <c r="I22" s="31"/>
      <c r="J22" s="31"/>
      <c r="K22" s="31"/>
      <c r="L22" s="31"/>
      <c r="M22" s="32"/>
    </row>
    <row r="23" spans="1:13" ht="14.4" x14ac:dyDescent="0.25">
      <c r="A23" s="33" t="s">
        <v>48</v>
      </c>
      <c r="B23" s="31"/>
      <c r="C23" s="31"/>
      <c r="D23" s="31"/>
      <c r="E23" s="31"/>
      <c r="F23" s="32"/>
      <c r="H23" s="33" t="s">
        <v>49</v>
      </c>
      <c r="I23" s="31"/>
      <c r="J23" s="31"/>
      <c r="K23" s="31"/>
      <c r="L23" s="31"/>
      <c r="M23" s="32"/>
    </row>
    <row r="24" spans="1:13" ht="14.4" x14ac:dyDescent="0.25">
      <c r="A24" s="33" t="s">
        <v>6</v>
      </c>
      <c r="B24" s="31"/>
      <c r="C24" s="32"/>
      <c r="D24" s="33" t="s">
        <v>8</v>
      </c>
      <c r="E24" s="31"/>
      <c r="F24" s="32"/>
      <c r="H24" s="33" t="s">
        <v>50</v>
      </c>
      <c r="I24" s="31"/>
      <c r="J24" s="32"/>
      <c r="K24" s="33" t="s">
        <v>8</v>
      </c>
      <c r="L24" s="31"/>
      <c r="M24" s="32"/>
    </row>
    <row r="25" spans="1:13" ht="17.399999999999999" x14ac:dyDescent="0.25">
      <c r="A25" s="3" t="s">
        <v>9</v>
      </c>
      <c r="B25" s="4" t="s">
        <v>10</v>
      </c>
      <c r="C25" s="4" t="s">
        <v>11</v>
      </c>
      <c r="D25" s="4" t="s">
        <v>12</v>
      </c>
      <c r="E25" s="4" t="s">
        <v>13</v>
      </c>
      <c r="F25" s="4" t="s">
        <v>14</v>
      </c>
      <c r="H25" s="3" t="s">
        <v>9</v>
      </c>
      <c r="I25" s="4" t="s">
        <v>10</v>
      </c>
      <c r="J25" s="4" t="s">
        <v>11</v>
      </c>
      <c r="K25" s="4" t="s">
        <v>12</v>
      </c>
      <c r="L25" s="4" t="s">
        <v>13</v>
      </c>
      <c r="M25" s="4" t="s">
        <v>14</v>
      </c>
    </row>
    <row r="26" spans="1:13" ht="3.75" customHeight="1" x14ac:dyDescent="0.25"/>
    <row r="27" spans="1:13" ht="18" x14ac:dyDescent="0.25">
      <c r="A27" s="44" t="s">
        <v>54</v>
      </c>
      <c r="B27" s="44"/>
      <c r="C27" s="44"/>
      <c r="D27" s="44"/>
      <c r="E27" s="44"/>
      <c r="F27" s="44"/>
    </row>
    <row r="28" spans="1:13" ht="3.75" customHeight="1" x14ac:dyDescent="0.25"/>
    <row r="29" spans="1:13" ht="18" x14ac:dyDescent="0.25">
      <c r="A29" s="30" t="s">
        <v>55</v>
      </c>
      <c r="B29" s="31"/>
      <c r="C29" s="31"/>
      <c r="D29" s="31"/>
      <c r="E29" s="31"/>
      <c r="F29" s="32"/>
    </row>
    <row r="30" spans="1:13" ht="14.4" x14ac:dyDescent="0.25">
      <c r="A30" s="33" t="s">
        <v>92</v>
      </c>
      <c r="B30" s="31"/>
      <c r="C30" s="31"/>
      <c r="D30" s="31"/>
      <c r="E30" s="31"/>
      <c r="F30" s="32"/>
    </row>
    <row r="31" spans="1:13" ht="14.4" x14ac:dyDescent="0.25">
      <c r="A31" s="33" t="s">
        <v>56</v>
      </c>
      <c r="B31" s="31"/>
      <c r="C31" s="31"/>
      <c r="D31" s="31"/>
      <c r="E31" s="31"/>
      <c r="F31" s="32"/>
    </row>
    <row r="32" spans="1:13" ht="14.4" x14ac:dyDescent="0.25">
      <c r="A32" s="33" t="s">
        <v>6</v>
      </c>
      <c r="B32" s="31"/>
      <c r="C32" s="32"/>
      <c r="D32" s="33" t="s">
        <v>7</v>
      </c>
      <c r="E32" s="31"/>
      <c r="F32" s="32"/>
    </row>
    <row r="33" spans="1:13" ht="17.399999999999999" x14ac:dyDescent="0.25">
      <c r="A33" s="3" t="s">
        <v>9</v>
      </c>
      <c r="B33" s="4" t="s">
        <v>10</v>
      </c>
      <c r="C33" s="4" t="s">
        <v>11</v>
      </c>
      <c r="D33" s="4" t="s">
        <v>12</v>
      </c>
      <c r="E33" s="4" t="s">
        <v>13</v>
      </c>
      <c r="F33" s="4" t="s">
        <v>14</v>
      </c>
    </row>
    <row r="34" spans="1:13" ht="3.75" customHeight="1" x14ac:dyDescent="0.25"/>
    <row r="35" spans="1:13" ht="18" x14ac:dyDescent="0.25">
      <c r="A35" s="37" t="s">
        <v>37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9"/>
    </row>
    <row r="36" spans="1:13" ht="3.75" customHeight="1" x14ac:dyDescent="0.25">
      <c r="B36" s="22"/>
      <c r="C36" s="22"/>
      <c r="D36" s="22"/>
    </row>
    <row r="37" spans="1:13" ht="18" x14ac:dyDescent="0.25">
      <c r="A37" s="45" t="s">
        <v>75</v>
      </c>
      <c r="B37" s="31"/>
      <c r="C37" s="31"/>
      <c r="D37" s="31"/>
      <c r="E37" s="31"/>
      <c r="F37" s="32"/>
      <c r="H37" s="30" t="s">
        <v>16</v>
      </c>
      <c r="I37" s="35"/>
      <c r="J37" s="35"/>
      <c r="K37" s="35"/>
      <c r="L37" s="35"/>
      <c r="M37" s="36"/>
    </row>
    <row r="38" spans="1:13" ht="14.4" x14ac:dyDescent="0.25">
      <c r="A38" s="40" t="s">
        <v>74</v>
      </c>
      <c r="B38" s="31"/>
      <c r="C38" s="31"/>
      <c r="D38" s="31"/>
      <c r="E38" s="31"/>
      <c r="F38" s="32"/>
      <c r="H38" s="33" t="s">
        <v>78</v>
      </c>
      <c r="I38" s="31"/>
      <c r="J38" s="31"/>
      <c r="K38" s="31"/>
      <c r="L38" s="31"/>
      <c r="M38" s="32"/>
    </row>
    <row r="39" spans="1:13" ht="14.4" x14ac:dyDescent="0.25">
      <c r="A39" s="33" t="s">
        <v>76</v>
      </c>
      <c r="B39" s="31"/>
      <c r="C39" s="31"/>
      <c r="D39" s="31"/>
      <c r="E39" s="31"/>
      <c r="F39" s="32"/>
      <c r="H39" s="40" t="s">
        <v>95</v>
      </c>
      <c r="I39" s="53"/>
      <c r="J39" s="53"/>
      <c r="K39" s="53"/>
      <c r="L39" s="53"/>
      <c r="M39" s="54"/>
    </row>
    <row r="40" spans="1:13" ht="14.4" x14ac:dyDescent="0.25">
      <c r="A40" s="33" t="s">
        <v>17</v>
      </c>
      <c r="B40" s="31"/>
      <c r="C40" s="32"/>
      <c r="D40" s="33" t="s">
        <v>7</v>
      </c>
      <c r="E40" s="31"/>
      <c r="F40" s="32"/>
      <c r="H40" s="33" t="s">
        <v>17</v>
      </c>
      <c r="I40" s="31"/>
      <c r="J40" s="32"/>
      <c r="K40" s="33" t="s">
        <v>8</v>
      </c>
      <c r="L40" s="31"/>
      <c r="M40" s="32"/>
    </row>
    <row r="41" spans="1:13" ht="17.399999999999999" x14ac:dyDescent="0.25">
      <c r="A41" s="3" t="s">
        <v>9</v>
      </c>
      <c r="B41" s="4" t="s">
        <v>10</v>
      </c>
      <c r="C41" s="4" t="s">
        <v>11</v>
      </c>
      <c r="D41" s="4" t="s">
        <v>12</v>
      </c>
      <c r="E41" s="4" t="s">
        <v>13</v>
      </c>
      <c r="F41" s="4" t="s">
        <v>14</v>
      </c>
      <c r="H41" s="3" t="s">
        <v>9</v>
      </c>
      <c r="I41" s="4" t="s">
        <v>10</v>
      </c>
      <c r="J41" s="4" t="s">
        <v>11</v>
      </c>
      <c r="K41" s="4" t="s">
        <v>12</v>
      </c>
      <c r="L41" s="4" t="s">
        <v>13</v>
      </c>
      <c r="M41" s="4" t="s">
        <v>14</v>
      </c>
    </row>
    <row r="42" spans="1:13" ht="3.75" customHeight="1" x14ac:dyDescent="0.25">
      <c r="B42" s="22"/>
      <c r="C42" s="22"/>
      <c r="D42" s="22"/>
    </row>
    <row r="43" spans="1:13" ht="18" x14ac:dyDescent="0.25">
      <c r="A43" s="30" t="s">
        <v>77</v>
      </c>
      <c r="B43" s="31"/>
      <c r="C43" s="31"/>
      <c r="D43" s="31"/>
      <c r="E43" s="31"/>
      <c r="F43" s="32"/>
      <c r="H43" s="30" t="s">
        <v>97</v>
      </c>
      <c r="I43" s="31"/>
      <c r="J43" s="31"/>
      <c r="K43" s="31"/>
      <c r="L43" s="31"/>
      <c r="M43" s="32"/>
    </row>
    <row r="44" spans="1:13" ht="14.4" x14ac:dyDescent="0.25">
      <c r="A44" s="33" t="s">
        <v>96</v>
      </c>
      <c r="B44" s="31"/>
      <c r="C44" s="31"/>
      <c r="D44" s="31"/>
      <c r="E44" s="31"/>
      <c r="F44" s="32"/>
      <c r="H44" s="40" t="s">
        <v>98</v>
      </c>
      <c r="I44" s="31"/>
      <c r="J44" s="31"/>
      <c r="K44" s="31"/>
      <c r="L44" s="31"/>
      <c r="M44" s="32"/>
    </row>
    <row r="45" spans="1:13" ht="14.4" x14ac:dyDescent="0.25">
      <c r="A45" s="40"/>
      <c r="B45" s="31"/>
      <c r="C45" s="31"/>
      <c r="D45" s="31"/>
      <c r="E45" s="31"/>
      <c r="F45" s="32"/>
      <c r="H45" s="33"/>
      <c r="I45" s="31"/>
      <c r="J45" s="31"/>
      <c r="K45" s="31"/>
      <c r="L45" s="31"/>
      <c r="M45" s="32"/>
    </row>
    <row r="46" spans="1:13" ht="14.4" x14ac:dyDescent="0.25">
      <c r="A46" s="33" t="s">
        <v>17</v>
      </c>
      <c r="B46" s="31"/>
      <c r="C46" s="32"/>
      <c r="D46" s="33" t="s">
        <v>7</v>
      </c>
      <c r="E46" s="31"/>
      <c r="F46" s="32"/>
      <c r="H46" s="33" t="s">
        <v>17</v>
      </c>
      <c r="I46" s="31"/>
      <c r="J46" s="32"/>
      <c r="K46" s="33" t="s">
        <v>7</v>
      </c>
      <c r="L46" s="31"/>
      <c r="M46" s="32"/>
    </row>
    <row r="47" spans="1:13" ht="17.399999999999999" x14ac:dyDescent="0.25">
      <c r="A47" s="3" t="s">
        <v>9</v>
      </c>
      <c r="B47" s="4" t="s">
        <v>10</v>
      </c>
      <c r="C47" s="4" t="s">
        <v>11</v>
      </c>
      <c r="D47" s="4" t="s">
        <v>12</v>
      </c>
      <c r="E47" s="4" t="s">
        <v>13</v>
      </c>
      <c r="F47" s="4" t="s">
        <v>14</v>
      </c>
      <c r="H47" s="3" t="s">
        <v>9</v>
      </c>
      <c r="I47" s="4" t="s">
        <v>10</v>
      </c>
      <c r="J47" s="4" t="s">
        <v>11</v>
      </c>
      <c r="K47" s="4" t="s">
        <v>12</v>
      </c>
      <c r="L47" s="4" t="s">
        <v>13</v>
      </c>
      <c r="M47" s="4" t="s">
        <v>14</v>
      </c>
    </row>
    <row r="48" spans="1:13" ht="3.75" customHeight="1" x14ac:dyDescent="0.25"/>
    <row r="49" spans="1:13" ht="18" x14ac:dyDescent="0.25">
      <c r="A49" s="30" t="s">
        <v>57</v>
      </c>
      <c r="B49" s="31"/>
      <c r="C49" s="31"/>
      <c r="D49" s="31"/>
      <c r="E49" s="31"/>
      <c r="F49" s="32"/>
      <c r="H49" s="30" t="s">
        <v>18</v>
      </c>
      <c r="I49" s="31"/>
      <c r="J49" s="31"/>
      <c r="K49" s="31"/>
      <c r="L49" s="31"/>
      <c r="M49" s="32"/>
    </row>
    <row r="50" spans="1:13" ht="14.4" x14ac:dyDescent="0.25">
      <c r="A50" s="40" t="s">
        <v>58</v>
      </c>
      <c r="B50" s="31"/>
      <c r="C50" s="31"/>
      <c r="D50" s="31"/>
      <c r="E50" s="31"/>
      <c r="F50" s="32"/>
      <c r="H50" s="33" t="s">
        <v>79</v>
      </c>
      <c r="I50" s="51"/>
      <c r="J50" s="51"/>
      <c r="K50" s="51"/>
      <c r="L50" s="51"/>
      <c r="M50" s="52"/>
    </row>
    <row r="51" spans="1:13" ht="14.4" x14ac:dyDescent="0.25">
      <c r="A51" s="40" t="s">
        <v>59</v>
      </c>
      <c r="B51" s="31"/>
      <c r="C51" s="31"/>
      <c r="D51" s="31"/>
      <c r="E51" s="31"/>
      <c r="F51" s="32"/>
      <c r="H51" s="40" t="s">
        <v>38</v>
      </c>
      <c r="I51" s="31"/>
      <c r="J51" s="31"/>
      <c r="K51" s="31"/>
      <c r="L51" s="31"/>
      <c r="M51" s="32"/>
    </row>
    <row r="52" spans="1:13" ht="14.4" x14ac:dyDescent="0.25">
      <c r="A52" s="33" t="s">
        <v>17</v>
      </c>
      <c r="B52" s="31"/>
      <c r="C52" s="32"/>
      <c r="D52" s="33" t="s">
        <v>8</v>
      </c>
      <c r="E52" s="31"/>
      <c r="F52" s="32"/>
      <c r="H52" s="33" t="s">
        <v>17</v>
      </c>
      <c r="I52" s="31"/>
      <c r="J52" s="32"/>
      <c r="K52" s="33" t="s">
        <v>7</v>
      </c>
      <c r="L52" s="31"/>
      <c r="M52" s="32"/>
    </row>
    <row r="53" spans="1:13" ht="17.399999999999999" x14ac:dyDescent="0.25">
      <c r="A53" s="3" t="s">
        <v>9</v>
      </c>
      <c r="B53" s="4" t="s">
        <v>10</v>
      </c>
      <c r="C53" s="4" t="s">
        <v>11</v>
      </c>
      <c r="D53" s="4" t="s">
        <v>12</v>
      </c>
      <c r="E53" s="4" t="s">
        <v>13</v>
      </c>
      <c r="F53" s="4" t="s">
        <v>14</v>
      </c>
      <c r="H53" s="3" t="s">
        <v>9</v>
      </c>
      <c r="I53" s="4" t="s">
        <v>10</v>
      </c>
      <c r="J53" s="4" t="s">
        <v>11</v>
      </c>
      <c r="K53" s="4" t="s">
        <v>12</v>
      </c>
      <c r="L53" s="4" t="s">
        <v>13</v>
      </c>
      <c r="M53" s="4" t="s">
        <v>14</v>
      </c>
    </row>
    <row r="54" spans="1:13" ht="3.75" customHeight="1" x14ac:dyDescent="0.25">
      <c r="B54" s="22"/>
      <c r="C54" s="22"/>
      <c r="D54" s="22"/>
    </row>
    <row r="55" spans="1:13" ht="18" x14ac:dyDescent="0.25">
      <c r="A55" s="30" t="s">
        <v>19</v>
      </c>
      <c r="B55" s="31"/>
      <c r="C55" s="31"/>
      <c r="D55" s="31"/>
      <c r="E55" s="31"/>
      <c r="F55" s="32"/>
      <c r="H55" s="30" t="s">
        <v>67</v>
      </c>
      <c r="I55" s="31"/>
      <c r="J55" s="31"/>
      <c r="K55" s="31"/>
      <c r="L55" s="31"/>
      <c r="M55" s="32"/>
    </row>
    <row r="56" spans="1:13" ht="14.4" x14ac:dyDescent="0.25">
      <c r="A56" s="33" t="s">
        <v>81</v>
      </c>
      <c r="B56" s="31"/>
      <c r="C56" s="31"/>
      <c r="D56" s="31"/>
      <c r="E56" s="31"/>
      <c r="F56" s="32"/>
      <c r="H56" s="33" t="s">
        <v>80</v>
      </c>
      <c r="I56" s="31"/>
      <c r="J56" s="31"/>
      <c r="K56" s="31"/>
      <c r="L56" s="31"/>
      <c r="M56" s="32"/>
    </row>
    <row r="57" spans="1:13" ht="14.4" x14ac:dyDescent="0.25">
      <c r="A57" s="40" t="s">
        <v>20</v>
      </c>
      <c r="B57" s="31"/>
      <c r="C57" s="31"/>
      <c r="D57" s="31"/>
      <c r="E57" s="31"/>
      <c r="F57" s="32"/>
      <c r="H57" s="33" t="s">
        <v>21</v>
      </c>
      <c r="I57" s="31"/>
      <c r="J57" s="31"/>
      <c r="K57" s="31"/>
      <c r="L57" s="31"/>
      <c r="M57" s="32"/>
    </row>
    <row r="58" spans="1:13" ht="14.4" x14ac:dyDescent="0.25">
      <c r="A58" s="33" t="s">
        <v>17</v>
      </c>
      <c r="B58" s="31"/>
      <c r="C58" s="32"/>
      <c r="D58" s="33" t="s">
        <v>7</v>
      </c>
      <c r="E58" s="31"/>
      <c r="F58" s="32"/>
      <c r="H58" s="33" t="s">
        <v>17</v>
      </c>
      <c r="I58" s="31"/>
      <c r="J58" s="32"/>
      <c r="K58" s="33" t="s">
        <v>7</v>
      </c>
      <c r="L58" s="31"/>
      <c r="M58" s="32"/>
    </row>
    <row r="59" spans="1:13" ht="17.399999999999999" x14ac:dyDescent="0.25">
      <c r="A59" s="3" t="s">
        <v>9</v>
      </c>
      <c r="B59" s="4" t="s">
        <v>10</v>
      </c>
      <c r="C59" s="4" t="s">
        <v>11</v>
      </c>
      <c r="D59" s="4" t="s">
        <v>12</v>
      </c>
      <c r="E59" s="4" t="s">
        <v>13</v>
      </c>
      <c r="F59" s="4" t="s">
        <v>14</v>
      </c>
      <c r="H59" s="3" t="s">
        <v>9</v>
      </c>
      <c r="I59" s="4" t="s">
        <v>10</v>
      </c>
      <c r="J59" s="4" t="s">
        <v>11</v>
      </c>
      <c r="K59" s="4" t="s">
        <v>12</v>
      </c>
      <c r="L59" s="4" t="s">
        <v>13</v>
      </c>
      <c r="M59" s="4" t="s">
        <v>14</v>
      </c>
    </row>
    <row r="60" spans="1:13" ht="3.75" customHeight="1" x14ac:dyDescent="0.25">
      <c r="B60" s="22"/>
      <c r="C60" s="22"/>
      <c r="D60" s="22"/>
    </row>
    <row r="61" spans="1:13" ht="18" x14ac:dyDescent="0.25">
      <c r="A61" s="30" t="s">
        <v>22</v>
      </c>
      <c r="B61" s="31"/>
      <c r="C61" s="31"/>
      <c r="D61" s="31"/>
      <c r="E61" s="31"/>
      <c r="F61" s="32"/>
      <c r="H61" s="30" t="s">
        <v>23</v>
      </c>
      <c r="I61" s="31"/>
      <c r="J61" s="31"/>
      <c r="K61" s="31"/>
      <c r="L61" s="31"/>
      <c r="M61" s="32"/>
    </row>
    <row r="62" spans="1:13" ht="14.4" x14ac:dyDescent="0.25">
      <c r="A62" s="33" t="s">
        <v>82</v>
      </c>
      <c r="B62" s="31"/>
      <c r="C62" s="31"/>
      <c r="D62" s="31"/>
      <c r="E62" s="31"/>
      <c r="F62" s="32"/>
      <c r="H62" s="33" t="s">
        <v>83</v>
      </c>
      <c r="I62" s="31"/>
      <c r="J62" s="31"/>
      <c r="K62" s="31"/>
      <c r="L62" s="31"/>
      <c r="M62" s="32"/>
    </row>
    <row r="63" spans="1:13" ht="14.4" x14ac:dyDescent="0.25">
      <c r="A63" s="33" t="s">
        <v>24</v>
      </c>
      <c r="B63" s="31"/>
      <c r="C63" s="31"/>
      <c r="D63" s="31"/>
      <c r="E63" s="31"/>
      <c r="F63" s="32"/>
      <c r="H63" s="40" t="s">
        <v>39</v>
      </c>
      <c r="I63" s="31"/>
      <c r="J63" s="31"/>
      <c r="K63" s="31"/>
      <c r="L63" s="31"/>
      <c r="M63" s="32"/>
    </row>
    <row r="64" spans="1:13" ht="14.4" x14ac:dyDescent="0.25">
      <c r="A64" s="33" t="s">
        <v>17</v>
      </c>
      <c r="B64" s="31"/>
      <c r="C64" s="32"/>
      <c r="D64" s="33" t="s">
        <v>8</v>
      </c>
      <c r="E64" s="31"/>
      <c r="F64" s="32"/>
      <c r="H64" s="33" t="s">
        <v>17</v>
      </c>
      <c r="I64" s="31"/>
      <c r="J64" s="32"/>
      <c r="K64" s="33" t="s">
        <v>7</v>
      </c>
      <c r="L64" s="31"/>
      <c r="M64" s="32"/>
    </row>
    <row r="65" spans="1:13" ht="17.399999999999999" x14ac:dyDescent="0.25">
      <c r="A65" s="3" t="s">
        <v>9</v>
      </c>
      <c r="B65" s="4" t="s">
        <v>10</v>
      </c>
      <c r="C65" s="4" t="s">
        <v>11</v>
      </c>
      <c r="D65" s="4" t="s">
        <v>12</v>
      </c>
      <c r="E65" s="4" t="s">
        <v>13</v>
      </c>
      <c r="F65" s="4" t="s">
        <v>14</v>
      </c>
      <c r="H65" s="3" t="s">
        <v>9</v>
      </c>
      <c r="I65" s="4" t="s">
        <v>10</v>
      </c>
      <c r="J65" s="4" t="s">
        <v>11</v>
      </c>
      <c r="K65" s="4" t="s">
        <v>12</v>
      </c>
      <c r="L65" s="4" t="s">
        <v>13</v>
      </c>
      <c r="M65" s="4" t="s">
        <v>14</v>
      </c>
    </row>
    <row r="66" spans="1:13" ht="3.75" customHeight="1" x14ac:dyDescent="0.25">
      <c r="B66" s="22"/>
      <c r="C66" s="22"/>
      <c r="D66" s="22"/>
    </row>
    <row r="67" spans="1:13" ht="18" x14ac:dyDescent="0.25">
      <c r="A67" s="30" t="s">
        <v>25</v>
      </c>
      <c r="B67" s="31"/>
      <c r="C67" s="31"/>
      <c r="D67" s="31"/>
      <c r="E67" s="31"/>
      <c r="F67" s="32"/>
      <c r="H67" s="50" t="s">
        <v>60</v>
      </c>
      <c r="I67" s="47"/>
      <c r="J67" s="47"/>
      <c r="K67" s="47"/>
      <c r="L67" s="47"/>
      <c r="M67" s="48"/>
    </row>
    <row r="68" spans="1:13" ht="14.4" x14ac:dyDescent="0.25">
      <c r="A68" s="33" t="s">
        <v>84</v>
      </c>
      <c r="B68" s="31"/>
      <c r="C68" s="31"/>
      <c r="D68" s="31"/>
      <c r="E68" s="31"/>
      <c r="F68" s="32"/>
      <c r="H68" s="46" t="s">
        <v>61</v>
      </c>
      <c r="I68" s="47"/>
      <c r="J68" s="47"/>
      <c r="K68" s="47"/>
      <c r="L68" s="47"/>
      <c r="M68" s="48"/>
    </row>
    <row r="69" spans="1:13" ht="14.4" x14ac:dyDescent="0.25">
      <c r="A69" s="33" t="s">
        <v>26</v>
      </c>
      <c r="B69" s="31"/>
      <c r="C69" s="31"/>
      <c r="D69" s="31"/>
      <c r="E69" s="31"/>
      <c r="F69" s="32"/>
      <c r="H69" s="46" t="s">
        <v>62</v>
      </c>
      <c r="I69" s="47"/>
      <c r="J69" s="47"/>
      <c r="K69" s="47"/>
      <c r="L69" s="47"/>
      <c r="M69" s="48"/>
    </row>
    <row r="70" spans="1:13" ht="14.4" x14ac:dyDescent="0.25">
      <c r="A70" s="33" t="s">
        <v>17</v>
      </c>
      <c r="B70" s="31"/>
      <c r="C70" s="32"/>
      <c r="D70" s="33" t="s">
        <v>8</v>
      </c>
      <c r="E70" s="31"/>
      <c r="F70" s="32"/>
      <c r="H70" s="49" t="s">
        <v>17</v>
      </c>
      <c r="I70" s="47"/>
      <c r="J70" s="48"/>
      <c r="K70" s="49" t="s">
        <v>8</v>
      </c>
      <c r="L70" s="47"/>
      <c r="M70" s="48"/>
    </row>
    <row r="71" spans="1:13" ht="17.399999999999999" x14ac:dyDescent="0.25">
      <c r="A71" s="3" t="s">
        <v>9</v>
      </c>
      <c r="B71" s="4" t="s">
        <v>10</v>
      </c>
      <c r="C71" s="4" t="s">
        <v>11</v>
      </c>
      <c r="D71" s="4" t="s">
        <v>12</v>
      </c>
      <c r="E71" s="4" t="s">
        <v>13</v>
      </c>
      <c r="F71" s="4" t="s">
        <v>14</v>
      </c>
      <c r="H71" s="3" t="s">
        <v>9</v>
      </c>
      <c r="I71" s="4" t="s">
        <v>10</v>
      </c>
      <c r="J71" s="4" t="s">
        <v>11</v>
      </c>
      <c r="K71" s="4" t="s">
        <v>12</v>
      </c>
      <c r="L71" s="4" t="s">
        <v>13</v>
      </c>
      <c r="M71" s="4" t="s">
        <v>14</v>
      </c>
    </row>
    <row r="72" spans="1:13" ht="3.75" customHeight="1" x14ac:dyDescent="0.25">
      <c r="B72" s="22"/>
      <c r="C72" s="22"/>
      <c r="D72" s="22"/>
    </row>
    <row r="73" spans="1:13" ht="18" x14ac:dyDescent="0.25">
      <c r="A73" s="30" t="s">
        <v>27</v>
      </c>
      <c r="B73" s="31"/>
      <c r="C73" s="31"/>
      <c r="D73" s="31"/>
      <c r="E73" s="31"/>
      <c r="F73" s="32"/>
      <c r="H73" s="30" t="s">
        <v>72</v>
      </c>
      <c r="I73" s="35"/>
      <c r="J73" s="35"/>
      <c r="K73" s="35"/>
      <c r="L73" s="35"/>
      <c r="M73" s="36"/>
    </row>
    <row r="74" spans="1:13" ht="14.4" x14ac:dyDescent="0.25">
      <c r="A74" s="33" t="s">
        <v>85</v>
      </c>
      <c r="B74" s="31"/>
      <c r="C74" s="31"/>
      <c r="D74" s="31"/>
      <c r="E74" s="31"/>
      <c r="F74" s="32"/>
      <c r="H74" s="33" t="s">
        <v>86</v>
      </c>
      <c r="I74" s="31"/>
      <c r="J74" s="31"/>
      <c r="K74" s="31"/>
      <c r="L74" s="31"/>
      <c r="M74" s="32"/>
    </row>
    <row r="75" spans="1:13" ht="14.4" x14ac:dyDescent="0.25">
      <c r="A75" s="33" t="s">
        <v>28</v>
      </c>
      <c r="B75" s="31"/>
      <c r="C75" s="31"/>
      <c r="D75" s="31"/>
      <c r="E75" s="31"/>
      <c r="F75" s="32"/>
      <c r="H75" s="33" t="s">
        <v>73</v>
      </c>
      <c r="I75" s="31"/>
      <c r="J75" s="31"/>
      <c r="K75" s="31"/>
      <c r="L75" s="31"/>
      <c r="M75" s="32"/>
    </row>
    <row r="76" spans="1:13" ht="14.4" x14ac:dyDescent="0.25">
      <c r="A76" s="33" t="s">
        <v>17</v>
      </c>
      <c r="B76" s="31"/>
      <c r="C76" s="32"/>
      <c r="D76" s="33" t="s">
        <v>7</v>
      </c>
      <c r="E76" s="31"/>
      <c r="F76" s="32"/>
      <c r="H76" s="33" t="s">
        <v>17</v>
      </c>
      <c r="I76" s="31"/>
      <c r="J76" s="32"/>
      <c r="K76" s="33" t="s">
        <v>7</v>
      </c>
      <c r="L76" s="31"/>
      <c r="M76" s="32"/>
    </row>
    <row r="77" spans="1:13" ht="17.399999999999999" x14ac:dyDescent="0.25">
      <c r="A77" s="3" t="s">
        <v>9</v>
      </c>
      <c r="B77" s="4" t="s">
        <v>10</v>
      </c>
      <c r="C77" s="4" t="s">
        <v>11</v>
      </c>
      <c r="D77" s="4" t="s">
        <v>12</v>
      </c>
      <c r="E77" s="4" t="s">
        <v>13</v>
      </c>
      <c r="F77" s="4" t="s">
        <v>14</v>
      </c>
      <c r="H77" s="3" t="s">
        <v>9</v>
      </c>
      <c r="I77" s="4" t="s">
        <v>10</v>
      </c>
      <c r="J77" s="4" t="s">
        <v>11</v>
      </c>
      <c r="K77" s="4" t="s">
        <v>12</v>
      </c>
      <c r="L77" s="4" t="s">
        <v>13</v>
      </c>
      <c r="M77" s="4" t="s">
        <v>14</v>
      </c>
    </row>
    <row r="78" spans="1:13" ht="3.75" customHeight="1" x14ac:dyDescent="0.25">
      <c r="B78" s="22"/>
      <c r="C78" s="22"/>
      <c r="D78" s="22"/>
    </row>
    <row r="79" spans="1:13" ht="18" x14ac:dyDescent="0.25">
      <c r="A79" s="30" t="s">
        <v>29</v>
      </c>
      <c r="B79" s="31"/>
      <c r="C79" s="31"/>
      <c r="D79" s="31"/>
      <c r="E79" s="31"/>
      <c r="F79" s="32"/>
      <c r="H79" s="30" t="s">
        <v>33</v>
      </c>
      <c r="I79" s="31"/>
      <c r="J79" s="31"/>
      <c r="K79" s="31"/>
      <c r="L79" s="31"/>
      <c r="M79" s="32"/>
    </row>
    <row r="80" spans="1:13" ht="14.4" x14ac:dyDescent="0.25">
      <c r="A80" s="33" t="s">
        <v>88</v>
      </c>
      <c r="B80" s="31"/>
      <c r="C80" s="31"/>
      <c r="D80" s="31"/>
      <c r="E80" s="31"/>
      <c r="F80" s="32"/>
      <c r="H80" s="33" t="s">
        <v>87</v>
      </c>
      <c r="I80" s="31"/>
      <c r="J80" s="31"/>
      <c r="K80" s="31"/>
      <c r="L80" s="31"/>
      <c r="M80" s="32"/>
    </row>
    <row r="81" spans="1:13" ht="14.4" x14ac:dyDescent="0.25">
      <c r="A81" s="33" t="s">
        <v>31</v>
      </c>
      <c r="B81" s="31"/>
      <c r="C81" s="31"/>
      <c r="D81" s="31"/>
      <c r="E81" s="31"/>
      <c r="F81" s="32"/>
      <c r="H81" s="33" t="s">
        <v>34</v>
      </c>
      <c r="I81" s="31"/>
      <c r="J81" s="31"/>
      <c r="K81" s="31"/>
      <c r="L81" s="31"/>
      <c r="M81" s="32"/>
    </row>
    <row r="82" spans="1:13" ht="14.4" x14ac:dyDescent="0.25">
      <c r="A82" s="33" t="s">
        <v>17</v>
      </c>
      <c r="B82" s="31"/>
      <c r="C82" s="32"/>
      <c r="D82" s="33" t="s">
        <v>7</v>
      </c>
      <c r="E82" s="31"/>
      <c r="F82" s="32"/>
      <c r="H82" s="33" t="s">
        <v>17</v>
      </c>
      <c r="I82" s="31"/>
      <c r="J82" s="32"/>
      <c r="K82" s="33" t="s">
        <v>8</v>
      </c>
      <c r="L82" s="31"/>
      <c r="M82" s="32"/>
    </row>
    <row r="83" spans="1:13" ht="17.399999999999999" x14ac:dyDescent="0.25">
      <c r="A83" s="3" t="s">
        <v>9</v>
      </c>
      <c r="B83" s="4" t="s">
        <v>10</v>
      </c>
      <c r="C83" s="4" t="s">
        <v>11</v>
      </c>
      <c r="D83" s="4" t="s">
        <v>12</v>
      </c>
      <c r="E83" s="4" t="s">
        <v>13</v>
      </c>
      <c r="F83" s="4" t="s">
        <v>14</v>
      </c>
      <c r="H83" s="3" t="s">
        <v>9</v>
      </c>
      <c r="I83" s="4" t="s">
        <v>10</v>
      </c>
      <c r="J83" s="4" t="s">
        <v>11</v>
      </c>
      <c r="K83" s="4" t="s">
        <v>12</v>
      </c>
      <c r="L83" s="4" t="s">
        <v>13</v>
      </c>
      <c r="M83" s="4" t="s">
        <v>14</v>
      </c>
    </row>
    <row r="84" spans="1:13" ht="3.75" customHeight="1" x14ac:dyDescent="0.25">
      <c r="B84" s="22"/>
      <c r="C84" s="22"/>
      <c r="D84" s="22"/>
    </row>
    <row r="85" spans="1:13" ht="18" x14ac:dyDescent="0.25">
      <c r="A85" s="30" t="s">
        <v>65</v>
      </c>
      <c r="B85" s="31"/>
      <c r="C85" s="31"/>
      <c r="D85" s="31"/>
      <c r="E85" s="31"/>
      <c r="F85" s="32"/>
      <c r="H85" s="30" t="s">
        <v>68</v>
      </c>
      <c r="I85" s="31"/>
      <c r="J85" s="31"/>
      <c r="K85" s="31"/>
      <c r="L85" s="31"/>
      <c r="M85" s="32"/>
    </row>
    <row r="86" spans="1:13" ht="14.4" x14ac:dyDescent="0.25">
      <c r="A86" s="33" t="s">
        <v>89</v>
      </c>
      <c r="B86" s="31"/>
      <c r="C86" s="31"/>
      <c r="D86" s="31"/>
      <c r="E86" s="31"/>
      <c r="F86" s="32"/>
      <c r="H86" s="33" t="s">
        <v>90</v>
      </c>
      <c r="I86" s="31"/>
      <c r="J86" s="31"/>
      <c r="K86" s="31"/>
      <c r="L86" s="31"/>
      <c r="M86" s="32"/>
    </row>
    <row r="87" spans="1:13" ht="14.4" x14ac:dyDescent="0.25">
      <c r="A87" s="33" t="s">
        <v>66</v>
      </c>
      <c r="B87" s="31"/>
      <c r="C87" s="31"/>
      <c r="D87" s="31"/>
      <c r="E87" s="31"/>
      <c r="F87" s="32"/>
      <c r="H87" s="33" t="s">
        <v>69</v>
      </c>
      <c r="I87" s="31"/>
      <c r="J87" s="31"/>
      <c r="K87" s="31"/>
      <c r="L87" s="31"/>
      <c r="M87" s="32"/>
    </row>
    <row r="88" spans="1:13" ht="14.4" x14ac:dyDescent="0.25">
      <c r="A88" s="33" t="s">
        <v>17</v>
      </c>
      <c r="B88" s="31"/>
      <c r="C88" s="32"/>
      <c r="D88" s="33" t="s">
        <v>8</v>
      </c>
      <c r="E88" s="31"/>
      <c r="F88" s="32"/>
      <c r="H88" s="33" t="s">
        <v>17</v>
      </c>
      <c r="I88" s="31"/>
      <c r="J88" s="32"/>
      <c r="K88" s="33" t="s">
        <v>8</v>
      </c>
      <c r="L88" s="31"/>
      <c r="M88" s="32"/>
    </row>
    <row r="89" spans="1:13" ht="17.399999999999999" x14ac:dyDescent="0.25">
      <c r="A89" s="3" t="s">
        <v>9</v>
      </c>
      <c r="B89" s="4" t="s">
        <v>10</v>
      </c>
      <c r="C89" s="4" t="s">
        <v>11</v>
      </c>
      <c r="D89" s="4" t="s">
        <v>12</v>
      </c>
      <c r="E89" s="4" t="s">
        <v>13</v>
      </c>
      <c r="F89" s="4" t="s">
        <v>14</v>
      </c>
      <c r="H89" s="3" t="s">
        <v>9</v>
      </c>
      <c r="I89" s="4" t="s">
        <v>10</v>
      </c>
      <c r="J89" s="4" t="s">
        <v>11</v>
      </c>
      <c r="K89" s="4" t="s">
        <v>12</v>
      </c>
      <c r="L89" s="4" t="s">
        <v>13</v>
      </c>
      <c r="M89" s="4" t="s">
        <v>14</v>
      </c>
    </row>
    <row r="90" spans="1:13" x14ac:dyDescent="0.25">
      <c r="B90" s="22"/>
      <c r="C90" s="22"/>
      <c r="D90" s="22"/>
    </row>
    <row r="91" spans="1:13" ht="18" x14ac:dyDescent="0.25">
      <c r="A91" s="30" t="s">
        <v>70</v>
      </c>
      <c r="B91" s="31"/>
      <c r="C91" s="31"/>
      <c r="D91" s="31"/>
      <c r="E91" s="31"/>
      <c r="F91" s="32"/>
      <c r="H91" s="30" t="s">
        <v>101</v>
      </c>
      <c r="I91" s="31"/>
      <c r="J91" s="31"/>
      <c r="K91" s="31"/>
      <c r="L91" s="31"/>
      <c r="M91" s="32"/>
    </row>
    <row r="92" spans="1:13" ht="14.4" x14ac:dyDescent="0.25">
      <c r="A92" s="33" t="s">
        <v>91</v>
      </c>
      <c r="B92" s="31"/>
      <c r="C92" s="31"/>
      <c r="D92" s="31"/>
      <c r="E92" s="31"/>
      <c r="F92" s="32"/>
      <c r="H92" s="33" t="s">
        <v>102</v>
      </c>
      <c r="I92" s="31"/>
      <c r="J92" s="31"/>
      <c r="K92" s="31"/>
      <c r="L92" s="31"/>
      <c r="M92" s="32"/>
    </row>
    <row r="93" spans="1:13" ht="14.4" x14ac:dyDescent="0.25">
      <c r="A93" s="33" t="s">
        <v>71</v>
      </c>
      <c r="B93" s="31"/>
      <c r="C93" s="31"/>
      <c r="D93" s="31"/>
      <c r="E93" s="31"/>
      <c r="F93" s="32"/>
      <c r="H93" s="33" t="s">
        <v>103</v>
      </c>
      <c r="I93" s="31"/>
      <c r="J93" s="31"/>
      <c r="K93" s="31"/>
      <c r="L93" s="31"/>
      <c r="M93" s="32"/>
    </row>
    <row r="94" spans="1:13" ht="14.4" x14ac:dyDescent="0.25">
      <c r="A94" s="33" t="s">
        <v>17</v>
      </c>
      <c r="B94" s="31"/>
      <c r="C94" s="32"/>
      <c r="D94" s="33" t="s">
        <v>8</v>
      </c>
      <c r="E94" s="31"/>
      <c r="F94" s="32"/>
      <c r="H94" s="33" t="s">
        <v>17</v>
      </c>
      <c r="I94" s="31"/>
      <c r="J94" s="32"/>
      <c r="K94" s="33" t="s">
        <v>7</v>
      </c>
      <c r="L94" s="31"/>
      <c r="M94" s="32"/>
    </row>
    <row r="95" spans="1:13" ht="17.399999999999999" x14ac:dyDescent="0.25">
      <c r="A95" s="3" t="s">
        <v>9</v>
      </c>
      <c r="B95" s="4" t="s">
        <v>10</v>
      </c>
      <c r="C95" s="4" t="s">
        <v>11</v>
      </c>
      <c r="D95" s="4" t="s">
        <v>12</v>
      </c>
      <c r="E95" s="4" t="s">
        <v>13</v>
      </c>
      <c r="F95" s="4" t="s">
        <v>14</v>
      </c>
      <c r="H95" s="3" t="s">
        <v>9</v>
      </c>
      <c r="I95" s="4" t="s">
        <v>10</v>
      </c>
      <c r="J95" s="4" t="s">
        <v>11</v>
      </c>
      <c r="K95" s="4" t="s">
        <v>12</v>
      </c>
      <c r="L95" s="4" t="s">
        <v>13</v>
      </c>
      <c r="M95" s="4" t="s">
        <v>14</v>
      </c>
    </row>
    <row r="96" spans="1:13" x14ac:dyDescent="0.25">
      <c r="B96" s="22"/>
      <c r="C96" s="22"/>
      <c r="D96" s="22"/>
    </row>
    <row r="97" spans="1:15" ht="18" x14ac:dyDescent="0.25">
      <c r="A97" s="30" t="s">
        <v>104</v>
      </c>
      <c r="B97" s="31"/>
      <c r="C97" s="31"/>
      <c r="D97" s="31"/>
      <c r="E97" s="31"/>
      <c r="F97" s="32"/>
      <c r="H97" s="45" t="s">
        <v>109</v>
      </c>
      <c r="I97" s="31"/>
      <c r="J97" s="31"/>
      <c r="K97" s="31"/>
      <c r="L97" s="31"/>
      <c r="M97" s="32"/>
    </row>
    <row r="98" spans="1:15" ht="14.4" x14ac:dyDescent="0.25">
      <c r="A98" s="33" t="s">
        <v>105</v>
      </c>
      <c r="B98" s="31"/>
      <c r="C98" s="31"/>
      <c r="D98" s="31"/>
      <c r="E98" s="31"/>
      <c r="F98" s="32"/>
      <c r="H98" s="40" t="s">
        <v>107</v>
      </c>
      <c r="I98" s="31"/>
      <c r="J98" s="31"/>
      <c r="K98" s="31"/>
      <c r="L98" s="31"/>
      <c r="M98" s="32"/>
    </row>
    <row r="99" spans="1:15" ht="14.4" x14ac:dyDescent="0.25">
      <c r="A99" s="33" t="s">
        <v>106</v>
      </c>
      <c r="B99" s="31"/>
      <c r="C99" s="31"/>
      <c r="D99" s="31"/>
      <c r="E99" s="31"/>
      <c r="F99" s="32"/>
      <c r="H99" s="33" t="s">
        <v>108</v>
      </c>
      <c r="I99" s="31"/>
      <c r="J99" s="31"/>
      <c r="K99" s="31"/>
      <c r="L99" s="31"/>
      <c r="M99" s="32"/>
    </row>
    <row r="100" spans="1:15" ht="14.4" x14ac:dyDescent="0.25">
      <c r="A100" s="33" t="s">
        <v>17</v>
      </c>
      <c r="B100" s="31"/>
      <c r="C100" s="32"/>
      <c r="D100" s="33" t="s">
        <v>7</v>
      </c>
      <c r="E100" s="31"/>
      <c r="F100" s="32"/>
      <c r="H100" s="33" t="s">
        <v>17</v>
      </c>
      <c r="I100" s="31"/>
      <c r="J100" s="32"/>
      <c r="K100" s="33" t="s">
        <v>8</v>
      </c>
      <c r="L100" s="31"/>
      <c r="M100" s="32"/>
    </row>
    <row r="101" spans="1:15" ht="17.399999999999999" x14ac:dyDescent="0.25">
      <c r="A101" s="3" t="s">
        <v>9</v>
      </c>
      <c r="B101" s="4" t="s">
        <v>10</v>
      </c>
      <c r="C101" s="4" t="s">
        <v>11</v>
      </c>
      <c r="D101" s="4" t="s">
        <v>12</v>
      </c>
      <c r="E101" s="4" t="s">
        <v>13</v>
      </c>
      <c r="F101" s="4" t="s">
        <v>14</v>
      </c>
      <c r="H101" s="3" t="s">
        <v>9</v>
      </c>
      <c r="I101" s="4" t="s">
        <v>10</v>
      </c>
      <c r="J101" s="4" t="s">
        <v>11</v>
      </c>
      <c r="K101" s="4" t="s">
        <v>12</v>
      </c>
      <c r="L101" s="4" t="s">
        <v>13</v>
      </c>
      <c r="M101" s="4" t="s">
        <v>14</v>
      </c>
      <c r="O101" s="2" t="s">
        <v>126</v>
      </c>
    </row>
    <row r="102" spans="1:15" x14ac:dyDescent="0.25">
      <c r="B102" s="22"/>
      <c r="C102" s="22"/>
      <c r="D102" s="22"/>
    </row>
    <row r="103" spans="1:15" ht="18" x14ac:dyDescent="0.25">
      <c r="A103" s="30" t="s">
        <v>111</v>
      </c>
      <c r="B103" s="31"/>
      <c r="C103" s="31"/>
      <c r="D103" s="31"/>
      <c r="E103" s="31"/>
      <c r="F103" s="32"/>
      <c r="H103" s="30" t="s">
        <v>113</v>
      </c>
      <c r="I103" s="31"/>
      <c r="J103" s="31"/>
      <c r="K103" s="31"/>
      <c r="L103" s="31"/>
      <c r="M103" s="32"/>
    </row>
    <row r="104" spans="1:15" ht="14.4" x14ac:dyDescent="0.25">
      <c r="A104" s="33" t="s">
        <v>110</v>
      </c>
      <c r="B104" s="31"/>
      <c r="C104" s="31"/>
      <c r="D104" s="31"/>
      <c r="E104" s="31"/>
      <c r="F104" s="32"/>
      <c r="H104" s="33" t="s">
        <v>112</v>
      </c>
      <c r="I104" s="31"/>
      <c r="J104" s="31"/>
      <c r="K104" s="31"/>
      <c r="L104" s="31"/>
      <c r="M104" s="32"/>
    </row>
    <row r="105" spans="1:15" ht="14.4" x14ac:dyDescent="0.25">
      <c r="A105" s="33" t="s">
        <v>115</v>
      </c>
      <c r="B105" s="31"/>
      <c r="C105" s="31"/>
      <c r="D105" s="31"/>
      <c r="E105" s="31"/>
      <c r="F105" s="32"/>
      <c r="H105" s="33" t="s">
        <v>114</v>
      </c>
      <c r="I105" s="31"/>
      <c r="J105" s="31"/>
      <c r="K105" s="31"/>
      <c r="L105" s="31"/>
      <c r="M105" s="32"/>
    </row>
    <row r="106" spans="1:15" ht="14.4" x14ac:dyDescent="0.25">
      <c r="A106" s="33" t="s">
        <v>17</v>
      </c>
      <c r="B106" s="31"/>
      <c r="C106" s="32"/>
      <c r="D106" s="33" t="s">
        <v>7</v>
      </c>
      <c r="E106" s="31"/>
      <c r="F106" s="32"/>
      <c r="H106" s="33" t="s">
        <v>17</v>
      </c>
      <c r="I106" s="31"/>
      <c r="J106" s="32"/>
      <c r="K106" s="33" t="s">
        <v>7</v>
      </c>
      <c r="L106" s="31"/>
      <c r="M106" s="32"/>
    </row>
    <row r="107" spans="1:15" ht="17.399999999999999" x14ac:dyDescent="0.25">
      <c r="A107" s="3" t="s">
        <v>9</v>
      </c>
      <c r="B107" s="4" t="s">
        <v>10</v>
      </c>
      <c r="C107" s="4" t="s">
        <v>11</v>
      </c>
      <c r="D107" s="4" t="s">
        <v>12</v>
      </c>
      <c r="E107" s="4" t="s">
        <v>13</v>
      </c>
      <c r="F107" s="4" t="s">
        <v>14</v>
      </c>
      <c r="H107" s="3" t="s">
        <v>9</v>
      </c>
      <c r="I107" s="4" t="s">
        <v>10</v>
      </c>
      <c r="J107" s="4" t="s">
        <v>11</v>
      </c>
      <c r="K107" s="4" t="s">
        <v>12</v>
      </c>
      <c r="L107" s="4" t="s">
        <v>13</v>
      </c>
      <c r="M107" s="4" t="s">
        <v>14</v>
      </c>
    </row>
    <row r="108" spans="1:15" x14ac:dyDescent="0.25">
      <c r="B108" s="22"/>
      <c r="C108" s="22"/>
      <c r="D108" s="22"/>
    </row>
    <row r="109" spans="1:15" ht="18" x14ac:dyDescent="0.25">
      <c r="A109" s="30" t="s">
        <v>126</v>
      </c>
      <c r="B109" s="31"/>
      <c r="C109" s="31"/>
      <c r="D109" s="31"/>
      <c r="E109" s="31"/>
      <c r="F109" s="32"/>
      <c r="H109" s="30" t="s">
        <v>127</v>
      </c>
      <c r="I109" s="31"/>
      <c r="J109" s="31"/>
      <c r="K109" s="31"/>
      <c r="L109" s="31"/>
      <c r="M109" s="32"/>
    </row>
    <row r="110" spans="1:15" ht="14.4" x14ac:dyDescent="0.25">
      <c r="A110" s="34" t="s">
        <v>133</v>
      </c>
      <c r="B110" s="31"/>
      <c r="C110" s="31"/>
      <c r="D110" s="31"/>
      <c r="E110" s="31"/>
      <c r="F110" s="32"/>
      <c r="H110" s="33" t="s">
        <v>128</v>
      </c>
      <c r="I110" s="31"/>
      <c r="J110" s="31"/>
      <c r="K110" s="31"/>
      <c r="L110" s="31"/>
      <c r="M110" s="32"/>
    </row>
    <row r="111" spans="1:15" ht="14.4" x14ac:dyDescent="0.25">
      <c r="A111" s="33"/>
      <c r="B111" s="31"/>
      <c r="C111" s="31"/>
      <c r="D111" s="31"/>
      <c r="E111" s="31"/>
      <c r="F111" s="32"/>
      <c r="H111" s="33"/>
      <c r="I111" s="31"/>
      <c r="J111" s="31"/>
      <c r="K111" s="31"/>
      <c r="L111" s="31"/>
      <c r="M111" s="32"/>
    </row>
    <row r="112" spans="1:15" ht="14.4" x14ac:dyDescent="0.25">
      <c r="A112" s="33" t="s">
        <v>17</v>
      </c>
      <c r="B112" s="31"/>
      <c r="C112" s="32"/>
      <c r="D112" s="33" t="s">
        <v>7</v>
      </c>
      <c r="E112" s="31"/>
      <c r="F112" s="32"/>
      <c r="H112" s="33" t="s">
        <v>17</v>
      </c>
      <c r="I112" s="31"/>
      <c r="J112" s="32"/>
      <c r="K112" s="33" t="s">
        <v>8</v>
      </c>
      <c r="L112" s="31"/>
      <c r="M112" s="32"/>
    </row>
    <row r="113" spans="1:13" ht="17.399999999999999" x14ac:dyDescent="0.25">
      <c r="A113" s="3" t="s">
        <v>9</v>
      </c>
      <c r="B113" s="4" t="s">
        <v>10</v>
      </c>
      <c r="C113" s="4" t="s">
        <v>11</v>
      </c>
      <c r="D113" s="4" t="s">
        <v>12</v>
      </c>
      <c r="E113" s="4" t="s">
        <v>13</v>
      </c>
      <c r="F113" s="4" t="s">
        <v>14</v>
      </c>
      <c r="H113" s="3" t="s">
        <v>9</v>
      </c>
      <c r="I113" s="4" t="s">
        <v>10</v>
      </c>
      <c r="J113" s="4" t="s">
        <v>11</v>
      </c>
      <c r="K113" s="4" t="s">
        <v>12</v>
      </c>
      <c r="L113" s="4" t="s">
        <v>13</v>
      </c>
      <c r="M113" s="4" t="s">
        <v>14</v>
      </c>
    </row>
    <row r="114" spans="1:13" x14ac:dyDescent="0.25">
      <c r="B114" s="22"/>
      <c r="C114" s="22"/>
      <c r="D114" s="22"/>
    </row>
    <row r="115" spans="1:13" ht="18" x14ac:dyDescent="0.25">
      <c r="A115" s="30" t="s">
        <v>129</v>
      </c>
      <c r="B115" s="31"/>
      <c r="C115" s="31"/>
      <c r="D115" s="31"/>
      <c r="E115" s="31"/>
      <c r="F115" s="32"/>
      <c r="H115" s="30" t="s">
        <v>131</v>
      </c>
      <c r="I115" s="31"/>
      <c r="J115" s="31"/>
      <c r="K115" s="31"/>
      <c r="L115" s="31"/>
      <c r="M115" s="32"/>
    </row>
    <row r="116" spans="1:13" ht="14.4" x14ac:dyDescent="0.25">
      <c r="A116" s="33" t="s">
        <v>130</v>
      </c>
      <c r="B116" s="31"/>
      <c r="C116" s="31"/>
      <c r="D116" s="31"/>
      <c r="E116" s="31"/>
      <c r="F116" s="32"/>
      <c r="H116" s="33" t="s">
        <v>132</v>
      </c>
      <c r="I116" s="31"/>
      <c r="J116" s="31"/>
      <c r="K116" s="31"/>
      <c r="L116" s="31"/>
      <c r="M116" s="32"/>
    </row>
    <row r="117" spans="1:13" ht="14.4" x14ac:dyDescent="0.25">
      <c r="A117" s="33"/>
      <c r="B117" s="31"/>
      <c r="C117" s="31"/>
      <c r="D117" s="31"/>
      <c r="E117" s="31"/>
      <c r="F117" s="32"/>
      <c r="H117" s="33"/>
      <c r="I117" s="31"/>
      <c r="J117" s="31"/>
      <c r="K117" s="31"/>
      <c r="L117" s="31"/>
      <c r="M117" s="32"/>
    </row>
    <row r="118" spans="1:13" ht="14.4" x14ac:dyDescent="0.25">
      <c r="A118" s="33" t="s">
        <v>17</v>
      </c>
      <c r="B118" s="31"/>
      <c r="C118" s="32"/>
      <c r="D118" s="33"/>
      <c r="E118" s="31"/>
      <c r="F118" s="32"/>
      <c r="H118" s="33" t="s">
        <v>17</v>
      </c>
      <c r="I118" s="31"/>
      <c r="J118" s="32"/>
      <c r="K118" s="33"/>
      <c r="L118" s="31"/>
      <c r="M118" s="32"/>
    </row>
    <row r="119" spans="1:13" ht="17.399999999999999" x14ac:dyDescent="0.25">
      <c r="A119" s="3" t="s">
        <v>9</v>
      </c>
      <c r="B119" s="4" t="s">
        <v>10</v>
      </c>
      <c r="C119" s="4" t="s">
        <v>11</v>
      </c>
      <c r="D119" s="4" t="s">
        <v>12</v>
      </c>
      <c r="E119" s="4" t="s">
        <v>13</v>
      </c>
      <c r="F119" s="4" t="s">
        <v>14</v>
      </c>
      <c r="H119" s="3" t="s">
        <v>9</v>
      </c>
      <c r="I119" s="4" t="s">
        <v>10</v>
      </c>
      <c r="J119" s="4" t="s">
        <v>11</v>
      </c>
      <c r="K119" s="4" t="s">
        <v>12</v>
      </c>
      <c r="L119" s="4" t="s">
        <v>13</v>
      </c>
      <c r="M119" s="4" t="s">
        <v>14</v>
      </c>
    </row>
    <row r="120" spans="1:13" x14ac:dyDescent="0.25">
      <c r="B120" s="22"/>
      <c r="C120" s="22"/>
      <c r="D120" s="22"/>
    </row>
    <row r="121" spans="1:13" ht="18" x14ac:dyDescent="0.25">
      <c r="A121" s="30" t="s">
        <v>134</v>
      </c>
      <c r="B121" s="31"/>
      <c r="C121" s="31"/>
      <c r="D121" s="31"/>
      <c r="E121" s="31"/>
      <c r="F121" s="32"/>
      <c r="H121" s="30" t="s">
        <v>137</v>
      </c>
      <c r="I121" s="31"/>
      <c r="J121" s="31"/>
      <c r="K121" s="31"/>
      <c r="L121" s="31"/>
      <c r="M121" s="32"/>
    </row>
    <row r="122" spans="1:13" ht="14.4" x14ac:dyDescent="0.25">
      <c r="A122" s="33" t="s">
        <v>135</v>
      </c>
      <c r="B122" s="31"/>
      <c r="C122" s="31"/>
      <c r="D122" s="31"/>
      <c r="E122" s="31"/>
      <c r="F122" s="32"/>
      <c r="H122" s="33" t="s">
        <v>138</v>
      </c>
      <c r="I122" s="31"/>
      <c r="J122" s="31"/>
      <c r="K122" s="31"/>
      <c r="L122" s="31"/>
      <c r="M122" s="32"/>
    </row>
    <row r="123" spans="1:13" ht="14.4" x14ac:dyDescent="0.25">
      <c r="A123" s="33" t="s">
        <v>136</v>
      </c>
      <c r="B123" s="31"/>
      <c r="C123" s="31"/>
      <c r="D123" s="31"/>
      <c r="E123" s="31"/>
      <c r="F123" s="32"/>
      <c r="H123" s="33" t="s">
        <v>139</v>
      </c>
      <c r="I123" s="31"/>
      <c r="J123" s="31"/>
      <c r="K123" s="31"/>
      <c r="L123" s="31"/>
      <c r="M123" s="32"/>
    </row>
    <row r="124" spans="1:13" ht="14.4" x14ac:dyDescent="0.25">
      <c r="A124" s="33" t="s">
        <v>17</v>
      </c>
      <c r="B124" s="31"/>
      <c r="C124" s="32"/>
      <c r="D124" s="33" t="s">
        <v>8</v>
      </c>
      <c r="E124" s="31"/>
      <c r="F124" s="32"/>
      <c r="H124" s="33" t="s">
        <v>17</v>
      </c>
      <c r="I124" s="31"/>
      <c r="J124" s="32"/>
      <c r="K124" s="33" t="s">
        <v>8</v>
      </c>
      <c r="L124" s="31"/>
      <c r="M124" s="32"/>
    </row>
    <row r="125" spans="1:13" ht="17.399999999999999" x14ac:dyDescent="0.25">
      <c r="A125" s="3" t="s">
        <v>9</v>
      </c>
      <c r="B125" s="4" t="s">
        <v>10</v>
      </c>
      <c r="C125" s="4" t="s">
        <v>11</v>
      </c>
      <c r="D125" s="4" t="s">
        <v>12</v>
      </c>
      <c r="E125" s="4" t="s">
        <v>13</v>
      </c>
      <c r="F125" s="4" t="s">
        <v>14</v>
      </c>
      <c r="H125" s="3" t="s">
        <v>9</v>
      </c>
      <c r="I125" s="4" t="s">
        <v>10</v>
      </c>
      <c r="J125" s="4" t="s">
        <v>11</v>
      </c>
      <c r="K125" s="4" t="s">
        <v>12</v>
      </c>
      <c r="L125" s="4" t="s">
        <v>13</v>
      </c>
      <c r="M125" s="4" t="s">
        <v>14</v>
      </c>
    </row>
    <row r="126" spans="1:13" x14ac:dyDescent="0.25">
      <c r="B126" s="22"/>
      <c r="C126" s="22"/>
      <c r="D126" s="22"/>
    </row>
    <row r="127" spans="1:13" ht="18" x14ac:dyDescent="0.25">
      <c r="A127" s="30" t="s">
        <v>148</v>
      </c>
      <c r="B127" s="31"/>
      <c r="C127" s="31"/>
      <c r="D127" s="31"/>
      <c r="E127" s="31"/>
      <c r="F127" s="32"/>
      <c r="H127" s="30" t="s">
        <v>153</v>
      </c>
      <c r="I127" s="31"/>
      <c r="J127" s="31"/>
      <c r="K127" s="31"/>
      <c r="L127" s="31"/>
      <c r="M127" s="32"/>
    </row>
    <row r="128" spans="1:13" ht="14.4" x14ac:dyDescent="0.25">
      <c r="A128" s="33" t="s">
        <v>149</v>
      </c>
      <c r="B128" s="31"/>
      <c r="C128" s="31"/>
      <c r="D128" s="31"/>
      <c r="E128" s="31"/>
      <c r="F128" s="32"/>
      <c r="H128" s="33" t="s">
        <v>154</v>
      </c>
      <c r="I128" s="31"/>
      <c r="J128" s="31"/>
      <c r="K128" s="31"/>
      <c r="L128" s="31"/>
      <c r="M128" s="32"/>
    </row>
    <row r="129" spans="1:13" ht="14.4" x14ac:dyDescent="0.25">
      <c r="A129" s="33" t="s">
        <v>150</v>
      </c>
      <c r="B129" s="31"/>
      <c r="C129" s="31"/>
      <c r="D129" s="31"/>
      <c r="E129" s="31"/>
      <c r="F129" s="32"/>
      <c r="H129" s="33" t="s">
        <v>150</v>
      </c>
      <c r="I129" s="31"/>
      <c r="J129" s="31"/>
      <c r="K129" s="31"/>
      <c r="L129" s="31"/>
      <c r="M129" s="32"/>
    </row>
    <row r="130" spans="1:13" ht="14.4" x14ac:dyDescent="0.25">
      <c r="A130" s="33" t="s">
        <v>17</v>
      </c>
      <c r="B130" s="31"/>
      <c r="C130" s="32"/>
      <c r="D130" s="33" t="s">
        <v>8</v>
      </c>
      <c r="E130" s="31"/>
      <c r="F130" s="32"/>
      <c r="H130" s="33" t="s">
        <v>17</v>
      </c>
      <c r="I130" s="31"/>
      <c r="J130" s="32"/>
      <c r="K130" s="33" t="s">
        <v>8</v>
      </c>
      <c r="L130" s="31"/>
      <c r="M130" s="32"/>
    </row>
    <row r="131" spans="1:13" ht="17.399999999999999" x14ac:dyDescent="0.25">
      <c r="A131" s="3" t="s">
        <v>9</v>
      </c>
      <c r="B131" s="4" t="s">
        <v>10</v>
      </c>
      <c r="C131" s="4" t="s">
        <v>11</v>
      </c>
      <c r="D131" s="4" t="s">
        <v>12</v>
      </c>
      <c r="E131" s="4" t="s">
        <v>13</v>
      </c>
      <c r="F131" s="4" t="s">
        <v>14</v>
      </c>
      <c r="H131" s="3" t="s">
        <v>9</v>
      </c>
      <c r="I131" s="4" t="s">
        <v>10</v>
      </c>
      <c r="J131" s="4" t="s">
        <v>11</v>
      </c>
      <c r="K131" s="4" t="s">
        <v>12</v>
      </c>
      <c r="L131" s="4" t="s">
        <v>13</v>
      </c>
      <c r="M131" s="4" t="s">
        <v>14</v>
      </c>
    </row>
    <row r="132" spans="1:13" x14ac:dyDescent="0.25">
      <c r="B132" s="22"/>
      <c r="C132" s="22"/>
      <c r="D132" s="22"/>
    </row>
    <row r="133" spans="1:13" x14ac:dyDescent="0.25">
      <c r="B133" s="22"/>
      <c r="C133" s="22"/>
      <c r="D133" s="22"/>
    </row>
    <row r="134" spans="1:13" x14ac:dyDescent="0.25">
      <c r="B134" s="22"/>
      <c r="C134" s="22"/>
      <c r="D134" s="22"/>
    </row>
    <row r="135" spans="1:13" x14ac:dyDescent="0.25">
      <c r="B135" s="22"/>
      <c r="C135" s="22"/>
      <c r="D135" s="22"/>
    </row>
    <row r="136" spans="1:13" x14ac:dyDescent="0.25">
      <c r="B136" s="22"/>
      <c r="C136" s="22"/>
      <c r="D136" s="22"/>
    </row>
    <row r="137" spans="1:13" x14ac:dyDescent="0.25">
      <c r="B137" s="22"/>
      <c r="C137" s="22"/>
      <c r="D137" s="22"/>
    </row>
    <row r="138" spans="1:13" x14ac:dyDescent="0.25">
      <c r="B138" s="22"/>
      <c r="C138" s="22"/>
      <c r="D138" s="22"/>
    </row>
    <row r="139" spans="1:13" x14ac:dyDescent="0.25">
      <c r="B139" s="22"/>
      <c r="C139" s="22"/>
      <c r="D139" s="22"/>
    </row>
    <row r="140" spans="1:13" x14ac:dyDescent="0.25">
      <c r="B140" s="22"/>
      <c r="C140" s="22"/>
      <c r="D140" s="22"/>
    </row>
    <row r="141" spans="1:13" x14ac:dyDescent="0.25">
      <c r="B141" s="22"/>
      <c r="C141" s="22"/>
      <c r="D141" s="22"/>
    </row>
    <row r="142" spans="1:13" x14ac:dyDescent="0.25">
      <c r="B142" s="22"/>
      <c r="C142" s="22"/>
      <c r="D142" s="22"/>
    </row>
    <row r="143" spans="1:13" x14ac:dyDescent="0.25">
      <c r="B143" s="22"/>
      <c r="C143" s="22"/>
      <c r="D143" s="22"/>
    </row>
    <row r="144" spans="1:13" x14ac:dyDescent="0.25">
      <c r="B144" s="22"/>
      <c r="C144" s="22"/>
      <c r="D144" s="22"/>
    </row>
    <row r="145" spans="2:4" x14ac:dyDescent="0.25">
      <c r="B145" s="22"/>
      <c r="C145" s="22"/>
      <c r="D145" s="22"/>
    </row>
    <row r="146" spans="2:4" x14ac:dyDescent="0.25">
      <c r="B146" s="22"/>
      <c r="C146" s="22"/>
      <c r="D146" s="22"/>
    </row>
    <row r="147" spans="2:4" x14ac:dyDescent="0.25">
      <c r="B147" s="22"/>
      <c r="C147" s="22"/>
      <c r="D147" s="22"/>
    </row>
    <row r="148" spans="2:4" x14ac:dyDescent="0.25">
      <c r="B148" s="22"/>
      <c r="C148" s="22"/>
      <c r="D148" s="22"/>
    </row>
    <row r="149" spans="2:4" x14ac:dyDescent="0.25">
      <c r="B149" s="22"/>
      <c r="C149" s="22"/>
      <c r="D149" s="22"/>
    </row>
    <row r="150" spans="2:4" x14ac:dyDescent="0.25">
      <c r="B150" s="22"/>
      <c r="C150" s="22"/>
      <c r="D150" s="22"/>
    </row>
    <row r="151" spans="2:4" x14ac:dyDescent="0.25">
      <c r="B151" s="22"/>
      <c r="C151" s="22"/>
      <c r="D151" s="22"/>
    </row>
    <row r="152" spans="2:4" x14ac:dyDescent="0.25">
      <c r="B152" s="22"/>
      <c r="C152" s="22"/>
      <c r="D152" s="22"/>
    </row>
    <row r="153" spans="2:4" x14ac:dyDescent="0.25">
      <c r="B153" s="22"/>
      <c r="C153" s="22"/>
      <c r="D153" s="22"/>
    </row>
    <row r="154" spans="2:4" x14ac:dyDescent="0.25">
      <c r="B154" s="22"/>
      <c r="C154" s="22"/>
      <c r="D154" s="22"/>
    </row>
    <row r="155" spans="2:4" x14ac:dyDescent="0.25">
      <c r="B155" s="22"/>
      <c r="C155" s="22"/>
      <c r="D155" s="22"/>
    </row>
    <row r="156" spans="2:4" x14ac:dyDescent="0.25">
      <c r="B156" s="22"/>
      <c r="C156" s="22"/>
      <c r="D156" s="22"/>
    </row>
    <row r="157" spans="2:4" x14ac:dyDescent="0.25">
      <c r="B157" s="22"/>
      <c r="C157" s="22"/>
      <c r="D157" s="22"/>
    </row>
    <row r="158" spans="2:4" x14ac:dyDescent="0.25">
      <c r="B158" s="22"/>
      <c r="C158" s="22"/>
      <c r="D158" s="22"/>
    </row>
    <row r="159" spans="2:4" x14ac:dyDescent="0.25">
      <c r="B159" s="22"/>
      <c r="C159" s="22"/>
      <c r="D159" s="22"/>
    </row>
    <row r="160" spans="2:4" x14ac:dyDescent="0.25">
      <c r="B160" s="22"/>
      <c r="C160" s="22"/>
      <c r="D160" s="22"/>
    </row>
    <row r="161" spans="2:4" x14ac:dyDescent="0.25">
      <c r="B161" s="22"/>
      <c r="C161" s="22"/>
      <c r="D161" s="22"/>
    </row>
    <row r="162" spans="2:4" x14ac:dyDescent="0.25">
      <c r="B162" s="22"/>
      <c r="C162" s="22"/>
      <c r="D162" s="22"/>
    </row>
    <row r="163" spans="2:4" x14ac:dyDescent="0.25">
      <c r="B163" s="22"/>
      <c r="C163" s="22"/>
      <c r="D163" s="22"/>
    </row>
    <row r="164" spans="2:4" x14ac:dyDescent="0.25">
      <c r="B164" s="22"/>
      <c r="C164" s="22"/>
      <c r="D164" s="22"/>
    </row>
    <row r="165" spans="2:4" x14ac:dyDescent="0.25">
      <c r="B165" s="22"/>
      <c r="C165" s="22"/>
      <c r="D165" s="22"/>
    </row>
    <row r="166" spans="2:4" x14ac:dyDescent="0.25">
      <c r="B166" s="22"/>
      <c r="C166" s="22"/>
      <c r="D166" s="22"/>
    </row>
    <row r="167" spans="2:4" x14ac:dyDescent="0.25">
      <c r="B167" s="22"/>
      <c r="C167" s="22"/>
      <c r="D167" s="22"/>
    </row>
    <row r="168" spans="2:4" x14ac:dyDescent="0.25">
      <c r="B168" s="22"/>
      <c r="C168" s="22"/>
      <c r="D168" s="22"/>
    </row>
    <row r="169" spans="2:4" x14ac:dyDescent="0.25">
      <c r="B169" s="22"/>
      <c r="C169" s="22"/>
      <c r="D169" s="22"/>
    </row>
    <row r="170" spans="2:4" x14ac:dyDescent="0.25">
      <c r="B170" s="22"/>
      <c r="C170" s="22"/>
      <c r="D170" s="22"/>
    </row>
    <row r="171" spans="2:4" x14ac:dyDescent="0.25">
      <c r="B171" s="22"/>
      <c r="C171" s="22"/>
      <c r="D171" s="22"/>
    </row>
    <row r="172" spans="2:4" x14ac:dyDescent="0.25">
      <c r="B172" s="22"/>
      <c r="C172" s="22"/>
      <c r="D172" s="22"/>
    </row>
    <row r="173" spans="2:4" x14ac:dyDescent="0.25">
      <c r="B173" s="22"/>
      <c r="C173" s="22"/>
      <c r="D173" s="22"/>
    </row>
    <row r="174" spans="2:4" x14ac:dyDescent="0.25">
      <c r="B174" s="22"/>
      <c r="C174" s="22"/>
      <c r="D174" s="22"/>
    </row>
    <row r="175" spans="2:4" x14ac:dyDescent="0.25">
      <c r="B175" s="22"/>
      <c r="C175" s="22"/>
      <c r="D175" s="22"/>
    </row>
    <row r="176" spans="2:4" x14ac:dyDescent="0.25">
      <c r="B176" s="22"/>
      <c r="C176" s="22"/>
      <c r="D176" s="22"/>
    </row>
    <row r="177" spans="2:4" x14ac:dyDescent="0.25">
      <c r="B177" s="22"/>
      <c r="C177" s="22"/>
      <c r="D177" s="22"/>
    </row>
    <row r="178" spans="2:4" x14ac:dyDescent="0.25">
      <c r="B178" s="22"/>
      <c r="C178" s="22"/>
      <c r="D178" s="22"/>
    </row>
    <row r="179" spans="2:4" x14ac:dyDescent="0.25">
      <c r="B179" s="22"/>
      <c r="C179" s="22"/>
      <c r="D179" s="22"/>
    </row>
    <row r="180" spans="2:4" x14ac:dyDescent="0.25">
      <c r="B180" s="22"/>
      <c r="C180" s="22"/>
      <c r="D180" s="22"/>
    </row>
    <row r="181" spans="2:4" x14ac:dyDescent="0.25">
      <c r="B181" s="22"/>
      <c r="C181" s="22"/>
      <c r="D181" s="22"/>
    </row>
    <row r="182" spans="2:4" x14ac:dyDescent="0.25">
      <c r="B182" s="22"/>
      <c r="C182" s="22"/>
      <c r="D182" s="22"/>
    </row>
    <row r="183" spans="2:4" x14ac:dyDescent="0.25">
      <c r="B183" s="22"/>
      <c r="C183" s="22"/>
      <c r="D183" s="22"/>
    </row>
    <row r="184" spans="2:4" x14ac:dyDescent="0.25">
      <c r="B184" s="22"/>
      <c r="C184" s="22"/>
      <c r="D184" s="22"/>
    </row>
    <row r="185" spans="2:4" x14ac:dyDescent="0.25">
      <c r="B185" s="22"/>
      <c r="C185" s="22"/>
      <c r="D185" s="22"/>
    </row>
    <row r="186" spans="2:4" x14ac:dyDescent="0.25">
      <c r="B186" s="22"/>
      <c r="C186" s="22"/>
      <c r="D186" s="22"/>
    </row>
    <row r="187" spans="2:4" x14ac:dyDescent="0.25">
      <c r="B187" s="22"/>
      <c r="C187" s="22"/>
      <c r="D187" s="22"/>
    </row>
    <row r="188" spans="2:4" x14ac:dyDescent="0.25">
      <c r="B188" s="22"/>
      <c r="C188" s="22"/>
      <c r="D188" s="22"/>
    </row>
    <row r="189" spans="2:4" x14ac:dyDescent="0.25">
      <c r="B189" s="22"/>
      <c r="C189" s="22"/>
      <c r="D189" s="22"/>
    </row>
    <row r="190" spans="2:4" x14ac:dyDescent="0.25">
      <c r="B190" s="22"/>
      <c r="C190" s="22"/>
      <c r="D190" s="22"/>
    </row>
    <row r="191" spans="2:4" x14ac:dyDescent="0.25">
      <c r="B191" s="22"/>
      <c r="C191" s="22"/>
      <c r="D191" s="22"/>
    </row>
    <row r="192" spans="2:4" x14ac:dyDescent="0.25">
      <c r="B192" s="22"/>
      <c r="C192" s="22"/>
      <c r="D192" s="22"/>
    </row>
    <row r="193" spans="2:4" x14ac:dyDescent="0.25">
      <c r="B193" s="22"/>
      <c r="C193" s="22"/>
      <c r="D193" s="22"/>
    </row>
    <row r="194" spans="2:4" x14ac:dyDescent="0.25">
      <c r="B194" s="22"/>
      <c r="C194" s="22"/>
      <c r="D194" s="22"/>
    </row>
    <row r="195" spans="2:4" x14ac:dyDescent="0.25">
      <c r="B195" s="22"/>
      <c r="C195" s="22"/>
      <c r="D195" s="22"/>
    </row>
    <row r="196" spans="2:4" x14ac:dyDescent="0.25">
      <c r="B196" s="22"/>
      <c r="C196" s="22"/>
      <c r="D196" s="22"/>
    </row>
    <row r="197" spans="2:4" x14ac:dyDescent="0.25">
      <c r="B197" s="22"/>
      <c r="C197" s="22"/>
      <c r="D197" s="22"/>
    </row>
    <row r="198" spans="2:4" x14ac:dyDescent="0.25">
      <c r="B198" s="22"/>
      <c r="C198" s="22"/>
      <c r="D198" s="22"/>
    </row>
    <row r="199" spans="2:4" x14ac:dyDescent="0.25">
      <c r="B199" s="22"/>
      <c r="C199" s="22"/>
      <c r="D199" s="22"/>
    </row>
    <row r="200" spans="2:4" x14ac:dyDescent="0.25">
      <c r="B200" s="22"/>
      <c r="C200" s="22"/>
      <c r="D200" s="22"/>
    </row>
    <row r="201" spans="2:4" x14ac:dyDescent="0.25">
      <c r="B201" s="22"/>
      <c r="C201" s="22"/>
      <c r="D201" s="22"/>
    </row>
    <row r="202" spans="2:4" x14ac:dyDescent="0.25">
      <c r="B202" s="22"/>
      <c r="C202" s="22"/>
      <c r="D202" s="22"/>
    </row>
    <row r="203" spans="2:4" x14ac:dyDescent="0.25">
      <c r="B203" s="22"/>
      <c r="C203" s="22"/>
      <c r="D203" s="22"/>
    </row>
    <row r="204" spans="2:4" x14ac:dyDescent="0.25">
      <c r="B204" s="22"/>
      <c r="C204" s="22"/>
      <c r="D204" s="22"/>
    </row>
    <row r="205" spans="2:4" x14ac:dyDescent="0.25">
      <c r="B205" s="22"/>
      <c r="C205" s="22"/>
      <c r="D205" s="22"/>
    </row>
    <row r="206" spans="2:4" x14ac:dyDescent="0.25">
      <c r="B206" s="22"/>
      <c r="C206" s="22"/>
      <c r="D206" s="22"/>
    </row>
    <row r="207" spans="2:4" x14ac:dyDescent="0.25">
      <c r="B207" s="22"/>
      <c r="C207" s="22"/>
      <c r="D207" s="22"/>
    </row>
    <row r="208" spans="2:4" x14ac:dyDescent="0.25">
      <c r="B208" s="22"/>
      <c r="C208" s="22"/>
      <c r="D208" s="22"/>
    </row>
    <row r="209" spans="2:4" x14ac:dyDescent="0.25">
      <c r="B209" s="22"/>
      <c r="C209" s="22"/>
      <c r="D209" s="22"/>
    </row>
    <row r="210" spans="2:4" x14ac:dyDescent="0.25">
      <c r="B210" s="22"/>
      <c r="C210" s="22"/>
      <c r="D210" s="22"/>
    </row>
    <row r="211" spans="2:4" x14ac:dyDescent="0.25">
      <c r="B211" s="22"/>
      <c r="C211" s="22"/>
      <c r="D211" s="22"/>
    </row>
    <row r="212" spans="2:4" x14ac:dyDescent="0.25">
      <c r="B212" s="22"/>
      <c r="C212" s="22"/>
      <c r="D212" s="22"/>
    </row>
    <row r="213" spans="2:4" x14ac:dyDescent="0.25">
      <c r="B213" s="22"/>
      <c r="C213" s="22"/>
      <c r="D213" s="22"/>
    </row>
    <row r="214" spans="2:4" x14ac:dyDescent="0.25">
      <c r="B214" s="22"/>
      <c r="C214" s="22"/>
      <c r="D214" s="22"/>
    </row>
    <row r="215" spans="2:4" x14ac:dyDescent="0.25">
      <c r="B215" s="22"/>
      <c r="C215" s="22"/>
      <c r="D215" s="22"/>
    </row>
    <row r="216" spans="2:4" x14ac:dyDescent="0.25">
      <c r="B216" s="22"/>
      <c r="C216" s="22"/>
      <c r="D216" s="22"/>
    </row>
    <row r="217" spans="2:4" x14ac:dyDescent="0.25">
      <c r="B217" s="22"/>
      <c r="C217" s="22"/>
      <c r="D217" s="22"/>
    </row>
    <row r="218" spans="2:4" x14ac:dyDescent="0.25">
      <c r="B218" s="22"/>
      <c r="C218" s="22"/>
      <c r="D218" s="22"/>
    </row>
    <row r="219" spans="2:4" x14ac:dyDescent="0.25">
      <c r="B219" s="22"/>
      <c r="C219" s="22"/>
      <c r="D219" s="22"/>
    </row>
    <row r="220" spans="2:4" x14ac:dyDescent="0.25">
      <c r="B220" s="22"/>
      <c r="C220" s="22"/>
      <c r="D220" s="22"/>
    </row>
    <row r="221" spans="2:4" x14ac:dyDescent="0.25">
      <c r="B221" s="22"/>
      <c r="C221" s="22"/>
      <c r="D221" s="22"/>
    </row>
    <row r="222" spans="2:4" x14ac:dyDescent="0.25">
      <c r="B222" s="22"/>
      <c r="C222" s="22"/>
      <c r="D222" s="22"/>
    </row>
    <row r="223" spans="2:4" x14ac:dyDescent="0.25">
      <c r="B223" s="22"/>
      <c r="C223" s="22"/>
      <c r="D223" s="22"/>
    </row>
    <row r="224" spans="2:4" x14ac:dyDescent="0.25">
      <c r="B224" s="22"/>
      <c r="C224" s="22"/>
      <c r="D224" s="22"/>
    </row>
    <row r="225" spans="2:4" x14ac:dyDescent="0.25">
      <c r="B225" s="22"/>
      <c r="C225" s="22"/>
      <c r="D225" s="22"/>
    </row>
    <row r="226" spans="2:4" x14ac:dyDescent="0.25">
      <c r="B226" s="22"/>
      <c r="C226" s="22"/>
      <c r="D226" s="22"/>
    </row>
    <row r="227" spans="2:4" x14ac:dyDescent="0.25">
      <c r="B227" s="22"/>
      <c r="C227" s="22"/>
      <c r="D227" s="22"/>
    </row>
    <row r="228" spans="2:4" x14ac:dyDescent="0.25">
      <c r="B228" s="22"/>
      <c r="C228" s="22"/>
      <c r="D228" s="22"/>
    </row>
    <row r="229" spans="2:4" x14ac:dyDescent="0.25">
      <c r="B229" s="22"/>
      <c r="C229" s="22"/>
      <c r="D229" s="22"/>
    </row>
    <row r="230" spans="2:4" x14ac:dyDescent="0.25">
      <c r="B230" s="22"/>
      <c r="C230" s="22"/>
      <c r="D230" s="22"/>
    </row>
    <row r="231" spans="2:4" x14ac:dyDescent="0.25">
      <c r="B231" s="22"/>
      <c r="C231" s="22"/>
      <c r="D231" s="22"/>
    </row>
    <row r="232" spans="2:4" x14ac:dyDescent="0.25">
      <c r="B232" s="22"/>
      <c r="C232" s="22"/>
      <c r="D232" s="22"/>
    </row>
    <row r="233" spans="2:4" x14ac:dyDescent="0.25">
      <c r="B233" s="22"/>
      <c r="C233" s="22"/>
      <c r="D233" s="22"/>
    </row>
    <row r="234" spans="2:4" x14ac:dyDescent="0.25">
      <c r="B234" s="22"/>
      <c r="C234" s="22"/>
      <c r="D234" s="22"/>
    </row>
    <row r="235" spans="2:4" x14ac:dyDescent="0.25">
      <c r="B235" s="22"/>
      <c r="C235" s="22"/>
      <c r="D235" s="22"/>
    </row>
    <row r="236" spans="2:4" x14ac:dyDescent="0.25">
      <c r="B236" s="22"/>
      <c r="C236" s="22"/>
      <c r="D236" s="22"/>
    </row>
    <row r="237" spans="2:4" x14ac:dyDescent="0.25">
      <c r="B237" s="22"/>
      <c r="C237" s="22"/>
      <c r="D237" s="22"/>
    </row>
    <row r="238" spans="2:4" x14ac:dyDescent="0.25">
      <c r="B238" s="22"/>
      <c r="C238" s="22"/>
      <c r="D238" s="22"/>
    </row>
    <row r="239" spans="2:4" x14ac:dyDescent="0.25">
      <c r="B239" s="22"/>
      <c r="C239" s="22"/>
      <c r="D239" s="22"/>
    </row>
    <row r="240" spans="2:4" x14ac:dyDescent="0.25">
      <c r="B240" s="22"/>
      <c r="C240" s="22"/>
      <c r="D240" s="22"/>
    </row>
    <row r="241" spans="2:4" x14ac:dyDescent="0.25">
      <c r="B241" s="22"/>
      <c r="C241" s="22"/>
      <c r="D241" s="22"/>
    </row>
    <row r="242" spans="2:4" x14ac:dyDescent="0.25">
      <c r="B242" s="22"/>
      <c r="C242" s="22"/>
      <c r="D242" s="22"/>
    </row>
    <row r="243" spans="2:4" x14ac:dyDescent="0.25">
      <c r="B243" s="22"/>
      <c r="C243" s="22"/>
      <c r="D243" s="22"/>
    </row>
    <row r="244" spans="2:4" x14ac:dyDescent="0.25">
      <c r="B244" s="22"/>
      <c r="C244" s="22"/>
      <c r="D244" s="22"/>
    </row>
    <row r="245" spans="2:4" x14ac:dyDescent="0.25">
      <c r="B245" s="22"/>
      <c r="C245" s="22"/>
      <c r="D245" s="22"/>
    </row>
    <row r="246" spans="2:4" x14ac:dyDescent="0.25">
      <c r="B246" s="22"/>
      <c r="C246" s="22"/>
      <c r="D246" s="22"/>
    </row>
    <row r="247" spans="2:4" x14ac:dyDescent="0.25">
      <c r="B247" s="22"/>
      <c r="C247" s="22"/>
      <c r="D247" s="22"/>
    </row>
    <row r="248" spans="2:4" x14ac:dyDescent="0.25">
      <c r="B248" s="22"/>
      <c r="C248" s="22"/>
      <c r="D248" s="22"/>
    </row>
    <row r="249" spans="2:4" x14ac:dyDescent="0.25">
      <c r="B249" s="22"/>
      <c r="C249" s="22"/>
      <c r="D249" s="22"/>
    </row>
    <row r="250" spans="2:4" x14ac:dyDescent="0.25">
      <c r="B250" s="22"/>
      <c r="C250" s="22"/>
      <c r="D250" s="22"/>
    </row>
    <row r="251" spans="2:4" x14ac:dyDescent="0.25">
      <c r="B251" s="22"/>
      <c r="C251" s="22"/>
      <c r="D251" s="22"/>
    </row>
    <row r="252" spans="2:4" x14ac:dyDescent="0.25">
      <c r="B252" s="22"/>
      <c r="C252" s="22"/>
      <c r="D252" s="22"/>
    </row>
    <row r="253" spans="2:4" x14ac:dyDescent="0.25">
      <c r="B253" s="22"/>
      <c r="C253" s="22"/>
      <c r="D253" s="22"/>
    </row>
    <row r="254" spans="2:4" x14ac:dyDescent="0.25">
      <c r="B254" s="22"/>
      <c r="C254" s="22"/>
      <c r="D254" s="22"/>
    </row>
    <row r="255" spans="2:4" x14ac:dyDescent="0.25">
      <c r="B255" s="22"/>
      <c r="C255" s="22"/>
      <c r="D255" s="22"/>
    </row>
    <row r="256" spans="2:4" x14ac:dyDescent="0.25">
      <c r="B256" s="22"/>
      <c r="C256" s="22"/>
      <c r="D256" s="22"/>
    </row>
    <row r="257" spans="2:4" x14ac:dyDescent="0.25">
      <c r="B257" s="22"/>
      <c r="C257" s="22"/>
      <c r="D257" s="22"/>
    </row>
    <row r="258" spans="2:4" x14ac:dyDescent="0.25">
      <c r="B258" s="22"/>
      <c r="C258" s="22"/>
      <c r="D258" s="22"/>
    </row>
    <row r="259" spans="2:4" x14ac:dyDescent="0.25">
      <c r="B259" s="22"/>
      <c r="C259" s="22"/>
      <c r="D259" s="22"/>
    </row>
    <row r="260" spans="2:4" x14ac:dyDescent="0.25">
      <c r="B260" s="22"/>
      <c r="C260" s="22"/>
      <c r="D260" s="22"/>
    </row>
    <row r="261" spans="2:4" x14ac:dyDescent="0.25">
      <c r="B261" s="22"/>
      <c r="C261" s="22"/>
      <c r="D261" s="22"/>
    </row>
    <row r="262" spans="2:4" x14ac:dyDescent="0.25">
      <c r="B262" s="22"/>
      <c r="C262" s="22"/>
      <c r="D262" s="22"/>
    </row>
    <row r="263" spans="2:4" x14ac:dyDescent="0.25">
      <c r="B263" s="22"/>
      <c r="C263" s="22"/>
      <c r="D263" s="22"/>
    </row>
    <row r="264" spans="2:4" x14ac:dyDescent="0.25">
      <c r="B264" s="22"/>
      <c r="C264" s="22"/>
      <c r="D264" s="22"/>
    </row>
    <row r="265" spans="2:4" x14ac:dyDescent="0.25">
      <c r="B265" s="22"/>
      <c r="C265" s="22"/>
      <c r="D265" s="22"/>
    </row>
    <row r="266" spans="2:4" x14ac:dyDescent="0.25">
      <c r="B266" s="22"/>
      <c r="C266" s="22"/>
      <c r="D266" s="22"/>
    </row>
    <row r="267" spans="2:4" x14ac:dyDescent="0.25">
      <c r="B267" s="22"/>
      <c r="C267" s="22"/>
      <c r="D267" s="22"/>
    </row>
    <row r="268" spans="2:4" x14ac:dyDescent="0.25">
      <c r="B268" s="22"/>
      <c r="C268" s="22"/>
      <c r="D268" s="22"/>
    </row>
    <row r="269" spans="2:4" x14ac:dyDescent="0.25">
      <c r="B269" s="22"/>
      <c r="C269" s="22"/>
      <c r="D269" s="22"/>
    </row>
    <row r="270" spans="2:4" x14ac:dyDescent="0.25">
      <c r="B270" s="22"/>
      <c r="C270" s="22"/>
      <c r="D270" s="22"/>
    </row>
    <row r="271" spans="2:4" x14ac:dyDescent="0.25">
      <c r="B271" s="22"/>
      <c r="C271" s="22"/>
      <c r="D271" s="22"/>
    </row>
    <row r="272" spans="2:4" x14ac:dyDescent="0.25">
      <c r="B272" s="22"/>
      <c r="C272" s="22"/>
      <c r="D272" s="22"/>
    </row>
    <row r="273" spans="2:4" x14ac:dyDescent="0.25">
      <c r="B273" s="22"/>
      <c r="C273" s="22"/>
      <c r="D273" s="22"/>
    </row>
    <row r="274" spans="2:4" x14ac:dyDescent="0.25">
      <c r="B274" s="22"/>
      <c r="C274" s="22"/>
      <c r="D274" s="22"/>
    </row>
    <row r="275" spans="2:4" x14ac:dyDescent="0.25">
      <c r="B275" s="22"/>
      <c r="C275" s="22"/>
      <c r="D275" s="22"/>
    </row>
    <row r="276" spans="2:4" x14ac:dyDescent="0.25">
      <c r="B276" s="22"/>
      <c r="C276" s="22"/>
      <c r="D276" s="22"/>
    </row>
    <row r="277" spans="2:4" x14ac:dyDescent="0.25">
      <c r="B277" s="22"/>
      <c r="C277" s="22"/>
      <c r="D277" s="22"/>
    </row>
    <row r="278" spans="2:4" x14ac:dyDescent="0.25">
      <c r="B278" s="22"/>
      <c r="C278" s="22"/>
      <c r="D278" s="22"/>
    </row>
    <row r="279" spans="2:4" x14ac:dyDescent="0.25">
      <c r="B279" s="22"/>
      <c r="C279" s="22"/>
      <c r="D279" s="22"/>
    </row>
    <row r="280" spans="2:4" x14ac:dyDescent="0.25">
      <c r="B280" s="22"/>
      <c r="C280" s="22"/>
      <c r="D280" s="22"/>
    </row>
    <row r="281" spans="2:4" x14ac:dyDescent="0.25">
      <c r="B281" s="22"/>
      <c r="C281" s="22"/>
      <c r="D281" s="22"/>
    </row>
    <row r="282" spans="2:4" x14ac:dyDescent="0.25">
      <c r="B282" s="22"/>
      <c r="C282" s="22"/>
      <c r="D282" s="22"/>
    </row>
    <row r="283" spans="2:4" x14ac:dyDescent="0.25">
      <c r="B283" s="22"/>
      <c r="C283" s="22"/>
      <c r="D283" s="22"/>
    </row>
    <row r="284" spans="2:4" x14ac:dyDescent="0.25">
      <c r="B284" s="22"/>
      <c r="C284" s="22"/>
      <c r="D284" s="22"/>
    </row>
    <row r="285" spans="2:4" x14ac:dyDescent="0.25">
      <c r="B285" s="22"/>
      <c r="C285" s="22"/>
      <c r="D285" s="22"/>
    </row>
    <row r="286" spans="2:4" x14ac:dyDescent="0.25">
      <c r="B286" s="22"/>
      <c r="C286" s="22"/>
      <c r="D286" s="22"/>
    </row>
    <row r="287" spans="2:4" x14ac:dyDescent="0.25">
      <c r="B287" s="22"/>
      <c r="C287" s="22"/>
      <c r="D287" s="22"/>
    </row>
    <row r="288" spans="2:4" x14ac:dyDescent="0.25">
      <c r="B288" s="22"/>
      <c r="C288" s="22"/>
      <c r="D288" s="22"/>
    </row>
    <row r="289" spans="2:4" x14ac:dyDescent="0.25">
      <c r="B289" s="22"/>
      <c r="C289" s="22"/>
      <c r="D289" s="22"/>
    </row>
    <row r="290" spans="2:4" x14ac:dyDescent="0.25">
      <c r="B290" s="22"/>
      <c r="C290" s="22"/>
      <c r="D290" s="22"/>
    </row>
    <row r="291" spans="2:4" x14ac:dyDescent="0.25">
      <c r="B291" s="22"/>
      <c r="C291" s="22"/>
      <c r="D291" s="22"/>
    </row>
    <row r="292" spans="2:4" x14ac:dyDescent="0.25">
      <c r="B292" s="22"/>
      <c r="C292" s="22"/>
      <c r="D292" s="22"/>
    </row>
    <row r="293" spans="2:4" x14ac:dyDescent="0.25">
      <c r="B293" s="22"/>
      <c r="C293" s="22"/>
      <c r="D293" s="22"/>
    </row>
    <row r="294" spans="2:4" x14ac:dyDescent="0.25">
      <c r="B294" s="22"/>
      <c r="C294" s="22"/>
      <c r="D294" s="22"/>
    </row>
    <row r="295" spans="2:4" x14ac:dyDescent="0.25">
      <c r="B295" s="22"/>
      <c r="C295" s="22"/>
      <c r="D295" s="22"/>
    </row>
    <row r="296" spans="2:4" x14ac:dyDescent="0.25">
      <c r="B296" s="22"/>
      <c r="C296" s="22"/>
      <c r="D296" s="22"/>
    </row>
    <row r="297" spans="2:4" x14ac:dyDescent="0.25">
      <c r="B297" s="22"/>
      <c r="C297" s="22"/>
      <c r="D297" s="22"/>
    </row>
    <row r="298" spans="2:4" x14ac:dyDescent="0.25">
      <c r="B298" s="22"/>
      <c r="C298" s="22"/>
      <c r="D298" s="22"/>
    </row>
    <row r="299" spans="2:4" x14ac:dyDescent="0.25">
      <c r="B299" s="22"/>
      <c r="C299" s="22"/>
      <c r="D299" s="22"/>
    </row>
    <row r="300" spans="2:4" x14ac:dyDescent="0.25">
      <c r="B300" s="22"/>
      <c r="C300" s="22"/>
      <c r="D300" s="22"/>
    </row>
    <row r="301" spans="2:4" x14ac:dyDescent="0.25">
      <c r="B301" s="22"/>
      <c r="C301" s="22"/>
      <c r="D301" s="22"/>
    </row>
    <row r="302" spans="2:4" x14ac:dyDescent="0.25">
      <c r="B302" s="22"/>
      <c r="C302" s="22"/>
      <c r="D302" s="22"/>
    </row>
    <row r="303" spans="2:4" x14ac:dyDescent="0.25">
      <c r="B303" s="22"/>
      <c r="C303" s="22"/>
      <c r="D303" s="22"/>
    </row>
    <row r="304" spans="2:4" x14ac:dyDescent="0.25">
      <c r="B304" s="22"/>
      <c r="C304" s="22"/>
      <c r="D304" s="22"/>
    </row>
    <row r="305" spans="2:4" x14ac:dyDescent="0.25">
      <c r="B305" s="22"/>
      <c r="C305" s="22"/>
      <c r="D305" s="22"/>
    </row>
    <row r="306" spans="2:4" x14ac:dyDescent="0.25">
      <c r="B306" s="22"/>
      <c r="C306" s="22"/>
      <c r="D306" s="22"/>
    </row>
    <row r="307" spans="2:4" x14ac:dyDescent="0.25">
      <c r="B307" s="22"/>
      <c r="C307" s="22"/>
      <c r="D307" s="22"/>
    </row>
    <row r="308" spans="2:4" x14ac:dyDescent="0.25">
      <c r="B308" s="22"/>
      <c r="C308" s="22"/>
      <c r="D308" s="22"/>
    </row>
    <row r="309" spans="2:4" x14ac:dyDescent="0.25">
      <c r="B309" s="22"/>
      <c r="C309" s="22"/>
      <c r="D309" s="22"/>
    </row>
    <row r="310" spans="2:4" x14ac:dyDescent="0.25">
      <c r="B310" s="22"/>
      <c r="C310" s="22"/>
      <c r="D310" s="22"/>
    </row>
    <row r="311" spans="2:4" x14ac:dyDescent="0.25">
      <c r="B311" s="22"/>
      <c r="C311" s="22"/>
      <c r="D311" s="22"/>
    </row>
    <row r="312" spans="2:4" x14ac:dyDescent="0.25">
      <c r="B312" s="22"/>
      <c r="C312" s="22"/>
      <c r="D312" s="22"/>
    </row>
    <row r="313" spans="2:4" x14ac:dyDescent="0.25">
      <c r="B313" s="22"/>
      <c r="C313" s="22"/>
      <c r="D313" s="22"/>
    </row>
    <row r="314" spans="2:4" x14ac:dyDescent="0.25">
      <c r="B314" s="22"/>
      <c r="C314" s="22"/>
      <c r="D314" s="22"/>
    </row>
    <row r="315" spans="2:4" x14ac:dyDescent="0.25">
      <c r="B315" s="22"/>
      <c r="C315" s="22"/>
      <c r="D315" s="22"/>
    </row>
    <row r="316" spans="2:4" x14ac:dyDescent="0.25">
      <c r="B316" s="22"/>
      <c r="C316" s="22"/>
      <c r="D316" s="22"/>
    </row>
    <row r="317" spans="2:4" x14ac:dyDescent="0.25">
      <c r="B317" s="22"/>
      <c r="C317" s="22"/>
      <c r="D317" s="22"/>
    </row>
    <row r="318" spans="2:4" x14ac:dyDescent="0.25">
      <c r="B318" s="22"/>
      <c r="C318" s="22"/>
      <c r="D318" s="22"/>
    </row>
    <row r="319" spans="2:4" x14ac:dyDescent="0.25">
      <c r="B319" s="22"/>
      <c r="C319" s="22"/>
      <c r="D319" s="22"/>
    </row>
    <row r="320" spans="2:4" x14ac:dyDescent="0.25">
      <c r="B320" s="22"/>
      <c r="C320" s="22"/>
      <c r="D320" s="22"/>
    </row>
    <row r="321" spans="2:4" x14ac:dyDescent="0.25">
      <c r="B321" s="22"/>
      <c r="C321" s="22"/>
      <c r="D321" s="22"/>
    </row>
    <row r="322" spans="2:4" x14ac:dyDescent="0.25">
      <c r="B322" s="22"/>
      <c r="C322" s="22"/>
      <c r="D322" s="22"/>
    </row>
    <row r="323" spans="2:4" x14ac:dyDescent="0.25">
      <c r="B323" s="22"/>
      <c r="C323" s="22"/>
      <c r="D323" s="22"/>
    </row>
    <row r="324" spans="2:4" x14ac:dyDescent="0.25">
      <c r="B324" s="22"/>
      <c r="C324" s="22"/>
      <c r="D324" s="22"/>
    </row>
    <row r="325" spans="2:4" x14ac:dyDescent="0.25">
      <c r="B325" s="22"/>
      <c r="C325" s="22"/>
      <c r="D325" s="22"/>
    </row>
    <row r="326" spans="2:4" x14ac:dyDescent="0.25">
      <c r="B326" s="22"/>
      <c r="C326" s="22"/>
      <c r="D326" s="22"/>
    </row>
    <row r="327" spans="2:4" x14ac:dyDescent="0.25">
      <c r="B327" s="22"/>
      <c r="C327" s="22"/>
      <c r="D327" s="22"/>
    </row>
    <row r="328" spans="2:4" x14ac:dyDescent="0.25">
      <c r="B328" s="22"/>
      <c r="C328" s="22"/>
      <c r="D328" s="22"/>
    </row>
    <row r="329" spans="2:4" x14ac:dyDescent="0.25">
      <c r="B329" s="22"/>
      <c r="C329" s="22"/>
      <c r="D329" s="22"/>
    </row>
    <row r="330" spans="2:4" x14ac:dyDescent="0.25">
      <c r="B330" s="22"/>
      <c r="C330" s="22"/>
      <c r="D330" s="22"/>
    </row>
    <row r="331" spans="2:4" x14ac:dyDescent="0.25">
      <c r="B331" s="22"/>
      <c r="C331" s="22"/>
      <c r="D331" s="22"/>
    </row>
    <row r="332" spans="2:4" x14ac:dyDescent="0.25">
      <c r="B332" s="22"/>
      <c r="C332" s="22"/>
      <c r="D332" s="22"/>
    </row>
    <row r="333" spans="2:4" x14ac:dyDescent="0.25">
      <c r="B333" s="22"/>
      <c r="C333" s="22"/>
      <c r="D333" s="22"/>
    </row>
    <row r="334" spans="2:4" x14ac:dyDescent="0.25">
      <c r="B334" s="22"/>
      <c r="C334" s="22"/>
      <c r="D334" s="22"/>
    </row>
    <row r="335" spans="2:4" x14ac:dyDescent="0.25">
      <c r="B335" s="22"/>
      <c r="C335" s="22"/>
      <c r="D335" s="22"/>
    </row>
    <row r="336" spans="2:4" x14ac:dyDescent="0.25">
      <c r="B336" s="22"/>
      <c r="C336" s="22"/>
      <c r="D336" s="22"/>
    </row>
    <row r="337" spans="2:4" x14ac:dyDescent="0.25">
      <c r="B337" s="22"/>
      <c r="C337" s="22"/>
      <c r="D337" s="22"/>
    </row>
    <row r="338" spans="2:4" x14ac:dyDescent="0.25">
      <c r="B338" s="22"/>
      <c r="C338" s="22"/>
      <c r="D338" s="22"/>
    </row>
    <row r="339" spans="2:4" x14ac:dyDescent="0.25">
      <c r="B339" s="22"/>
      <c r="C339" s="22"/>
      <c r="D339" s="22"/>
    </row>
    <row r="340" spans="2:4" x14ac:dyDescent="0.25">
      <c r="B340" s="22"/>
      <c r="C340" s="22"/>
      <c r="D340" s="22"/>
    </row>
    <row r="341" spans="2:4" x14ac:dyDescent="0.25">
      <c r="B341" s="22"/>
      <c r="C341" s="22"/>
      <c r="D341" s="22"/>
    </row>
    <row r="342" spans="2:4" x14ac:dyDescent="0.25">
      <c r="B342" s="22"/>
      <c r="C342" s="22"/>
      <c r="D342" s="22"/>
    </row>
    <row r="343" spans="2:4" x14ac:dyDescent="0.25">
      <c r="B343" s="22"/>
      <c r="C343" s="22"/>
      <c r="D343" s="22"/>
    </row>
    <row r="344" spans="2:4" x14ac:dyDescent="0.25">
      <c r="B344" s="22"/>
      <c r="C344" s="22"/>
      <c r="D344" s="22"/>
    </row>
    <row r="345" spans="2:4" x14ac:dyDescent="0.25">
      <c r="B345" s="22"/>
      <c r="C345" s="22"/>
      <c r="D345" s="22"/>
    </row>
    <row r="346" spans="2:4" x14ac:dyDescent="0.25">
      <c r="B346" s="22"/>
      <c r="C346" s="22"/>
      <c r="D346" s="22"/>
    </row>
    <row r="347" spans="2:4" x14ac:dyDescent="0.25">
      <c r="B347" s="22"/>
      <c r="C347" s="22"/>
      <c r="D347" s="22"/>
    </row>
    <row r="348" spans="2:4" x14ac:dyDescent="0.25">
      <c r="B348" s="22"/>
      <c r="C348" s="22"/>
      <c r="D348" s="22"/>
    </row>
    <row r="349" spans="2:4" x14ac:dyDescent="0.25">
      <c r="B349" s="22"/>
      <c r="C349" s="22"/>
      <c r="D349" s="22"/>
    </row>
    <row r="350" spans="2:4" x14ac:dyDescent="0.25">
      <c r="B350" s="22"/>
      <c r="C350" s="22"/>
      <c r="D350" s="22"/>
    </row>
    <row r="351" spans="2:4" x14ac:dyDescent="0.25">
      <c r="B351" s="22"/>
      <c r="C351" s="22"/>
      <c r="D351" s="22"/>
    </row>
    <row r="352" spans="2:4" x14ac:dyDescent="0.25">
      <c r="B352" s="22"/>
      <c r="C352" s="22"/>
      <c r="D352" s="22"/>
    </row>
    <row r="353" spans="2:4" x14ac:dyDescent="0.25">
      <c r="B353" s="22"/>
      <c r="C353" s="22"/>
      <c r="D353" s="22"/>
    </row>
    <row r="354" spans="2:4" x14ac:dyDescent="0.25">
      <c r="B354" s="22"/>
      <c r="C354" s="22"/>
      <c r="D354" s="22"/>
    </row>
    <row r="355" spans="2:4" x14ac:dyDescent="0.25">
      <c r="B355" s="22"/>
      <c r="C355" s="22"/>
      <c r="D355" s="22"/>
    </row>
    <row r="356" spans="2:4" x14ac:dyDescent="0.25">
      <c r="B356" s="22"/>
      <c r="C356" s="22"/>
      <c r="D356" s="22"/>
    </row>
    <row r="357" spans="2:4" x14ac:dyDescent="0.25">
      <c r="B357" s="22"/>
      <c r="C357" s="22"/>
      <c r="D357" s="22"/>
    </row>
    <row r="358" spans="2:4" x14ac:dyDescent="0.25">
      <c r="B358" s="22"/>
      <c r="C358" s="22"/>
      <c r="D358" s="22"/>
    </row>
    <row r="359" spans="2:4" x14ac:dyDescent="0.25">
      <c r="B359" s="22"/>
      <c r="C359" s="22"/>
      <c r="D359" s="22"/>
    </row>
    <row r="360" spans="2:4" x14ac:dyDescent="0.25">
      <c r="B360" s="22"/>
      <c r="C360" s="22"/>
      <c r="D360" s="22"/>
    </row>
    <row r="361" spans="2:4" x14ac:dyDescent="0.25">
      <c r="B361" s="22"/>
      <c r="C361" s="22"/>
      <c r="D361" s="22"/>
    </row>
    <row r="362" spans="2:4" x14ac:dyDescent="0.25">
      <c r="B362" s="22"/>
      <c r="C362" s="22"/>
      <c r="D362" s="22"/>
    </row>
    <row r="363" spans="2:4" x14ac:dyDescent="0.25">
      <c r="B363" s="22"/>
      <c r="C363" s="22"/>
      <c r="D363" s="22"/>
    </row>
    <row r="364" spans="2:4" x14ac:dyDescent="0.25">
      <c r="B364" s="22"/>
      <c r="C364" s="22"/>
      <c r="D364" s="22"/>
    </row>
    <row r="365" spans="2:4" x14ac:dyDescent="0.25">
      <c r="B365" s="22"/>
      <c r="C365" s="22"/>
      <c r="D365" s="22"/>
    </row>
    <row r="366" spans="2:4" x14ac:dyDescent="0.25">
      <c r="B366" s="22"/>
      <c r="C366" s="22"/>
      <c r="D366" s="22"/>
    </row>
    <row r="367" spans="2:4" x14ac:dyDescent="0.25">
      <c r="B367" s="22"/>
      <c r="C367" s="22"/>
      <c r="D367" s="22"/>
    </row>
    <row r="368" spans="2:4" x14ac:dyDescent="0.25">
      <c r="B368" s="22"/>
      <c r="C368" s="22"/>
      <c r="D368" s="22"/>
    </row>
    <row r="369" spans="2:4" x14ac:dyDescent="0.25">
      <c r="B369" s="22"/>
      <c r="C369" s="22"/>
      <c r="D369" s="22"/>
    </row>
    <row r="370" spans="2:4" x14ac:dyDescent="0.25">
      <c r="B370" s="22"/>
      <c r="C370" s="22"/>
      <c r="D370" s="22"/>
    </row>
    <row r="371" spans="2:4" x14ac:dyDescent="0.25">
      <c r="B371" s="22"/>
      <c r="C371" s="22"/>
      <c r="D371" s="22"/>
    </row>
    <row r="372" spans="2:4" x14ac:dyDescent="0.25">
      <c r="B372" s="22"/>
      <c r="C372" s="22"/>
      <c r="D372" s="22"/>
    </row>
    <row r="373" spans="2:4" x14ac:dyDescent="0.25">
      <c r="B373" s="22"/>
      <c r="C373" s="22"/>
      <c r="D373" s="22"/>
    </row>
    <row r="374" spans="2:4" x14ac:dyDescent="0.25">
      <c r="B374" s="22"/>
      <c r="C374" s="22"/>
      <c r="D374" s="22"/>
    </row>
    <row r="375" spans="2:4" x14ac:dyDescent="0.25">
      <c r="B375" s="22"/>
      <c r="C375" s="22"/>
      <c r="D375" s="22"/>
    </row>
    <row r="376" spans="2:4" x14ac:dyDescent="0.25">
      <c r="B376" s="22"/>
      <c r="C376" s="22"/>
      <c r="D376" s="22"/>
    </row>
    <row r="377" spans="2:4" x14ac:dyDescent="0.25">
      <c r="B377" s="22"/>
      <c r="C377" s="22"/>
      <c r="D377" s="22"/>
    </row>
    <row r="378" spans="2:4" x14ac:dyDescent="0.25">
      <c r="B378" s="22"/>
      <c r="C378" s="22"/>
      <c r="D378" s="22"/>
    </row>
    <row r="379" spans="2:4" x14ac:dyDescent="0.25">
      <c r="B379" s="22"/>
      <c r="C379" s="22"/>
      <c r="D379" s="22"/>
    </row>
    <row r="380" spans="2:4" x14ac:dyDescent="0.25">
      <c r="B380" s="22"/>
      <c r="C380" s="22"/>
      <c r="D380" s="22"/>
    </row>
    <row r="381" spans="2:4" x14ac:dyDescent="0.25">
      <c r="B381" s="22"/>
      <c r="C381" s="22"/>
      <c r="D381" s="22"/>
    </row>
    <row r="382" spans="2:4" x14ac:dyDescent="0.25">
      <c r="B382" s="22"/>
      <c r="C382" s="22"/>
      <c r="D382" s="22"/>
    </row>
    <row r="383" spans="2:4" x14ac:dyDescent="0.25">
      <c r="B383" s="22"/>
      <c r="C383" s="22"/>
      <c r="D383" s="22"/>
    </row>
    <row r="384" spans="2:4" x14ac:dyDescent="0.25">
      <c r="B384" s="22"/>
      <c r="C384" s="22"/>
      <c r="D384" s="22"/>
    </row>
    <row r="385" spans="2:4" x14ac:dyDescent="0.25">
      <c r="B385" s="22"/>
      <c r="C385" s="22"/>
      <c r="D385" s="22"/>
    </row>
    <row r="386" spans="2:4" x14ac:dyDescent="0.25">
      <c r="B386" s="22"/>
      <c r="C386" s="22"/>
      <c r="D386" s="22"/>
    </row>
    <row r="387" spans="2:4" x14ac:dyDescent="0.25">
      <c r="B387" s="22"/>
      <c r="C387" s="22"/>
      <c r="D387" s="22"/>
    </row>
    <row r="388" spans="2:4" x14ac:dyDescent="0.25">
      <c r="B388" s="22"/>
      <c r="C388" s="22"/>
      <c r="D388" s="22"/>
    </row>
    <row r="389" spans="2:4" x14ac:dyDescent="0.25">
      <c r="B389" s="22"/>
      <c r="C389" s="22"/>
      <c r="D389" s="22"/>
    </row>
    <row r="390" spans="2:4" x14ac:dyDescent="0.25">
      <c r="B390" s="22"/>
      <c r="C390" s="22"/>
      <c r="D390" s="22"/>
    </row>
    <row r="391" spans="2:4" x14ac:dyDescent="0.25">
      <c r="B391" s="22"/>
      <c r="C391" s="22"/>
      <c r="D391" s="22"/>
    </row>
    <row r="392" spans="2:4" x14ac:dyDescent="0.25">
      <c r="B392" s="22"/>
      <c r="C392" s="22"/>
      <c r="D392" s="22"/>
    </row>
    <row r="393" spans="2:4" x14ac:dyDescent="0.25">
      <c r="B393" s="22"/>
      <c r="C393" s="22"/>
      <c r="D393" s="22"/>
    </row>
    <row r="394" spans="2:4" x14ac:dyDescent="0.25">
      <c r="B394" s="22"/>
      <c r="C394" s="22"/>
      <c r="D394" s="22"/>
    </row>
    <row r="395" spans="2:4" x14ac:dyDescent="0.25">
      <c r="B395" s="22"/>
      <c r="C395" s="22"/>
      <c r="D395" s="22"/>
    </row>
    <row r="396" spans="2:4" x14ac:dyDescent="0.25">
      <c r="B396" s="22"/>
      <c r="C396" s="22"/>
      <c r="D396" s="22"/>
    </row>
    <row r="397" spans="2:4" x14ac:dyDescent="0.25">
      <c r="B397" s="22"/>
      <c r="C397" s="22"/>
      <c r="D397" s="22"/>
    </row>
    <row r="398" spans="2:4" x14ac:dyDescent="0.25">
      <c r="B398" s="22"/>
      <c r="C398" s="22"/>
      <c r="D398" s="22"/>
    </row>
    <row r="399" spans="2:4" x14ac:dyDescent="0.25">
      <c r="B399" s="22"/>
      <c r="C399" s="22"/>
      <c r="D399" s="22"/>
    </row>
    <row r="400" spans="2:4" x14ac:dyDescent="0.25">
      <c r="B400" s="22"/>
      <c r="C400" s="22"/>
      <c r="D400" s="22"/>
    </row>
    <row r="401" spans="2:4" x14ac:dyDescent="0.25">
      <c r="B401" s="22"/>
      <c r="C401" s="22"/>
      <c r="D401" s="22"/>
    </row>
    <row r="402" spans="2:4" x14ac:dyDescent="0.25">
      <c r="B402" s="22"/>
      <c r="C402" s="22"/>
      <c r="D402" s="22"/>
    </row>
    <row r="403" spans="2:4" x14ac:dyDescent="0.25">
      <c r="B403" s="22"/>
      <c r="C403" s="22"/>
      <c r="D403" s="22"/>
    </row>
    <row r="404" spans="2:4" x14ac:dyDescent="0.25">
      <c r="B404" s="22"/>
      <c r="C404" s="22"/>
      <c r="D404" s="22"/>
    </row>
    <row r="405" spans="2:4" x14ac:dyDescent="0.25">
      <c r="B405" s="22"/>
      <c r="C405" s="22"/>
      <c r="D405" s="22"/>
    </row>
    <row r="406" spans="2:4" x14ac:dyDescent="0.25">
      <c r="B406" s="22"/>
      <c r="C406" s="22"/>
      <c r="D406" s="22"/>
    </row>
    <row r="407" spans="2:4" x14ac:dyDescent="0.25">
      <c r="B407" s="22"/>
      <c r="C407" s="22"/>
      <c r="D407" s="22"/>
    </row>
    <row r="408" spans="2:4" x14ac:dyDescent="0.25">
      <c r="B408" s="22"/>
      <c r="C408" s="22"/>
      <c r="D408" s="22"/>
    </row>
    <row r="409" spans="2:4" x14ac:dyDescent="0.25">
      <c r="B409" s="22"/>
      <c r="C409" s="22"/>
      <c r="D409" s="22"/>
    </row>
    <row r="410" spans="2:4" x14ac:dyDescent="0.25">
      <c r="B410" s="22"/>
      <c r="C410" s="22"/>
      <c r="D410" s="22"/>
    </row>
    <row r="411" spans="2:4" x14ac:dyDescent="0.25">
      <c r="B411" s="22"/>
      <c r="C411" s="22"/>
      <c r="D411" s="22"/>
    </row>
    <row r="412" spans="2:4" x14ac:dyDescent="0.25">
      <c r="B412" s="22"/>
      <c r="C412" s="22"/>
      <c r="D412" s="22"/>
    </row>
    <row r="413" spans="2:4" x14ac:dyDescent="0.25">
      <c r="B413" s="22"/>
      <c r="C413" s="22"/>
      <c r="D413" s="22"/>
    </row>
    <row r="414" spans="2:4" x14ac:dyDescent="0.25">
      <c r="B414" s="22"/>
      <c r="C414" s="22"/>
      <c r="D414" s="22"/>
    </row>
    <row r="415" spans="2:4" x14ac:dyDescent="0.25">
      <c r="B415" s="22"/>
      <c r="C415" s="22"/>
      <c r="D415" s="22"/>
    </row>
    <row r="416" spans="2:4" x14ac:dyDescent="0.25">
      <c r="B416" s="22"/>
      <c r="C416" s="22"/>
      <c r="D416" s="22"/>
    </row>
    <row r="417" spans="2:4" x14ac:dyDescent="0.25">
      <c r="B417" s="22"/>
      <c r="C417" s="22"/>
      <c r="D417" s="22"/>
    </row>
    <row r="418" spans="2:4" x14ac:dyDescent="0.25">
      <c r="B418" s="22"/>
      <c r="C418" s="22"/>
      <c r="D418" s="22"/>
    </row>
    <row r="419" spans="2:4" x14ac:dyDescent="0.25">
      <c r="B419" s="22"/>
      <c r="C419" s="22"/>
      <c r="D419" s="22"/>
    </row>
    <row r="420" spans="2:4" x14ac:dyDescent="0.25">
      <c r="B420" s="22"/>
      <c r="C420" s="22"/>
      <c r="D420" s="22"/>
    </row>
    <row r="421" spans="2:4" x14ac:dyDescent="0.25">
      <c r="B421" s="22"/>
      <c r="C421" s="22"/>
      <c r="D421" s="22"/>
    </row>
    <row r="422" spans="2:4" x14ac:dyDescent="0.25">
      <c r="B422" s="22"/>
      <c r="C422" s="22"/>
      <c r="D422" s="22"/>
    </row>
    <row r="423" spans="2:4" x14ac:dyDescent="0.25">
      <c r="B423" s="22"/>
      <c r="C423" s="22"/>
      <c r="D423" s="22"/>
    </row>
    <row r="424" spans="2:4" x14ac:dyDescent="0.25">
      <c r="B424" s="22"/>
      <c r="C424" s="22"/>
      <c r="D424" s="22"/>
    </row>
    <row r="425" spans="2:4" x14ac:dyDescent="0.25">
      <c r="B425" s="22"/>
      <c r="C425" s="22"/>
      <c r="D425" s="22"/>
    </row>
    <row r="426" spans="2:4" x14ac:dyDescent="0.25">
      <c r="B426" s="22"/>
      <c r="C426" s="22"/>
      <c r="D426" s="22"/>
    </row>
    <row r="427" spans="2:4" x14ac:dyDescent="0.25">
      <c r="B427" s="22"/>
      <c r="C427" s="22"/>
      <c r="D427" s="22"/>
    </row>
    <row r="428" spans="2:4" x14ac:dyDescent="0.25">
      <c r="B428" s="22"/>
      <c r="C428" s="22"/>
      <c r="D428" s="22"/>
    </row>
    <row r="429" spans="2:4" x14ac:dyDescent="0.25">
      <c r="B429" s="22"/>
      <c r="C429" s="22"/>
      <c r="D429" s="22"/>
    </row>
    <row r="430" spans="2:4" x14ac:dyDescent="0.25">
      <c r="B430" s="22"/>
      <c r="C430" s="22"/>
      <c r="D430" s="22"/>
    </row>
    <row r="431" spans="2:4" x14ac:dyDescent="0.25">
      <c r="B431" s="22"/>
      <c r="C431" s="22"/>
      <c r="D431" s="22"/>
    </row>
    <row r="432" spans="2:4" x14ac:dyDescent="0.25">
      <c r="B432" s="22"/>
      <c r="C432" s="22"/>
      <c r="D432" s="22"/>
    </row>
    <row r="433" spans="2:4" x14ac:dyDescent="0.25">
      <c r="B433" s="22"/>
      <c r="C433" s="22"/>
      <c r="D433" s="22"/>
    </row>
    <row r="434" spans="2:4" x14ac:dyDescent="0.25">
      <c r="B434" s="22"/>
      <c r="C434" s="22"/>
      <c r="D434" s="22"/>
    </row>
    <row r="435" spans="2:4" x14ac:dyDescent="0.25">
      <c r="B435" s="22"/>
      <c r="C435" s="22"/>
      <c r="D435" s="22"/>
    </row>
    <row r="436" spans="2:4" x14ac:dyDescent="0.25">
      <c r="B436" s="22"/>
      <c r="C436" s="22"/>
      <c r="D436" s="22"/>
    </row>
    <row r="437" spans="2:4" x14ac:dyDescent="0.25">
      <c r="B437" s="22"/>
      <c r="C437" s="22"/>
      <c r="D437" s="22"/>
    </row>
    <row r="438" spans="2:4" x14ac:dyDescent="0.25">
      <c r="B438" s="22"/>
      <c r="C438" s="22"/>
      <c r="D438" s="22"/>
    </row>
    <row r="439" spans="2:4" x14ac:dyDescent="0.25">
      <c r="B439" s="22"/>
      <c r="C439" s="22"/>
      <c r="D439" s="22"/>
    </row>
    <row r="440" spans="2:4" x14ac:dyDescent="0.25">
      <c r="B440" s="22"/>
      <c r="C440" s="22"/>
      <c r="D440" s="22"/>
    </row>
    <row r="441" spans="2:4" x14ac:dyDescent="0.25">
      <c r="B441" s="22"/>
      <c r="C441" s="22"/>
      <c r="D441" s="22"/>
    </row>
    <row r="442" spans="2:4" x14ac:dyDescent="0.25">
      <c r="B442" s="22"/>
      <c r="C442" s="22"/>
      <c r="D442" s="22"/>
    </row>
    <row r="443" spans="2:4" x14ac:dyDescent="0.25">
      <c r="B443" s="22"/>
      <c r="C443" s="22"/>
      <c r="D443" s="22"/>
    </row>
    <row r="444" spans="2:4" x14ac:dyDescent="0.25">
      <c r="B444" s="22"/>
      <c r="C444" s="22"/>
      <c r="D444" s="22"/>
    </row>
    <row r="445" spans="2:4" x14ac:dyDescent="0.25">
      <c r="B445" s="22"/>
      <c r="C445" s="22"/>
      <c r="D445" s="22"/>
    </row>
    <row r="446" spans="2:4" x14ac:dyDescent="0.25">
      <c r="B446" s="22"/>
      <c r="C446" s="22"/>
      <c r="D446" s="22"/>
    </row>
    <row r="447" spans="2:4" x14ac:dyDescent="0.25">
      <c r="B447" s="22"/>
      <c r="C447" s="22"/>
      <c r="D447" s="22"/>
    </row>
    <row r="448" spans="2:4" x14ac:dyDescent="0.25">
      <c r="B448" s="22"/>
      <c r="C448" s="22"/>
      <c r="D448" s="22"/>
    </row>
    <row r="449" spans="2:4" x14ac:dyDescent="0.25">
      <c r="B449" s="22"/>
      <c r="C449" s="22"/>
      <c r="D449" s="22"/>
    </row>
    <row r="450" spans="2:4" x14ac:dyDescent="0.25">
      <c r="B450" s="22"/>
      <c r="C450" s="22"/>
      <c r="D450" s="22"/>
    </row>
    <row r="451" spans="2:4" x14ac:dyDescent="0.25">
      <c r="B451" s="22"/>
      <c r="C451" s="22"/>
      <c r="D451" s="22"/>
    </row>
    <row r="452" spans="2:4" x14ac:dyDescent="0.25">
      <c r="B452" s="22"/>
      <c r="C452" s="22"/>
      <c r="D452" s="22"/>
    </row>
    <row r="453" spans="2:4" x14ac:dyDescent="0.25">
      <c r="B453" s="22"/>
      <c r="C453" s="22"/>
      <c r="D453" s="22"/>
    </row>
    <row r="454" spans="2:4" x14ac:dyDescent="0.25">
      <c r="B454" s="22"/>
      <c r="C454" s="22"/>
      <c r="D454" s="22"/>
    </row>
    <row r="455" spans="2:4" x14ac:dyDescent="0.25">
      <c r="B455" s="22"/>
      <c r="C455" s="22"/>
      <c r="D455" s="22"/>
    </row>
    <row r="456" spans="2:4" x14ac:dyDescent="0.25">
      <c r="B456" s="22"/>
      <c r="C456" s="22"/>
      <c r="D456" s="22"/>
    </row>
    <row r="457" spans="2:4" x14ac:dyDescent="0.25">
      <c r="B457" s="22"/>
      <c r="C457" s="22"/>
      <c r="D457" s="22"/>
    </row>
    <row r="458" spans="2:4" x14ac:dyDescent="0.25">
      <c r="B458" s="22"/>
      <c r="C458" s="22"/>
      <c r="D458" s="22"/>
    </row>
    <row r="459" spans="2:4" x14ac:dyDescent="0.25">
      <c r="B459" s="22"/>
      <c r="C459" s="22"/>
      <c r="D459" s="22"/>
    </row>
    <row r="460" spans="2:4" x14ac:dyDescent="0.25">
      <c r="B460" s="22"/>
      <c r="C460" s="22"/>
      <c r="D460" s="22"/>
    </row>
    <row r="461" spans="2:4" x14ac:dyDescent="0.25">
      <c r="B461" s="22"/>
      <c r="C461" s="22"/>
      <c r="D461" s="22"/>
    </row>
    <row r="462" spans="2:4" x14ac:dyDescent="0.25">
      <c r="B462" s="22"/>
      <c r="C462" s="22"/>
      <c r="D462" s="22"/>
    </row>
    <row r="463" spans="2:4" x14ac:dyDescent="0.25">
      <c r="B463" s="22"/>
      <c r="C463" s="22"/>
      <c r="D463" s="22"/>
    </row>
    <row r="464" spans="2:4" x14ac:dyDescent="0.25">
      <c r="B464" s="22"/>
      <c r="C464" s="22"/>
      <c r="D464" s="22"/>
    </row>
    <row r="465" spans="2:4" x14ac:dyDescent="0.25">
      <c r="B465" s="22"/>
      <c r="C465" s="22"/>
      <c r="D465" s="22"/>
    </row>
    <row r="466" spans="2:4" x14ac:dyDescent="0.25">
      <c r="B466" s="22"/>
      <c r="C466" s="22"/>
      <c r="D466" s="22"/>
    </row>
    <row r="467" spans="2:4" x14ac:dyDescent="0.25">
      <c r="B467" s="22"/>
      <c r="C467" s="22"/>
      <c r="D467" s="22"/>
    </row>
    <row r="468" spans="2:4" x14ac:dyDescent="0.25">
      <c r="B468" s="22"/>
      <c r="C468" s="22"/>
      <c r="D468" s="22"/>
    </row>
    <row r="469" spans="2:4" x14ac:dyDescent="0.25">
      <c r="B469" s="22"/>
      <c r="C469" s="22"/>
      <c r="D469" s="22"/>
    </row>
    <row r="470" spans="2:4" x14ac:dyDescent="0.25">
      <c r="B470" s="22"/>
      <c r="C470" s="22"/>
      <c r="D470" s="22"/>
    </row>
    <row r="471" spans="2:4" x14ac:dyDescent="0.25">
      <c r="B471" s="22"/>
      <c r="C471" s="22"/>
      <c r="D471" s="22"/>
    </row>
    <row r="472" spans="2:4" x14ac:dyDescent="0.25">
      <c r="B472" s="22"/>
      <c r="C472" s="22"/>
      <c r="D472" s="22"/>
    </row>
    <row r="473" spans="2:4" x14ac:dyDescent="0.25">
      <c r="B473" s="22"/>
      <c r="C473" s="22"/>
      <c r="D473" s="22"/>
    </row>
    <row r="474" spans="2:4" x14ac:dyDescent="0.25">
      <c r="B474" s="22"/>
      <c r="C474" s="22"/>
      <c r="D474" s="22"/>
    </row>
    <row r="475" spans="2:4" x14ac:dyDescent="0.25">
      <c r="B475" s="22"/>
      <c r="C475" s="22"/>
      <c r="D475" s="22"/>
    </row>
    <row r="476" spans="2:4" x14ac:dyDescent="0.25">
      <c r="B476" s="22"/>
      <c r="C476" s="22"/>
      <c r="D476" s="22"/>
    </row>
    <row r="477" spans="2:4" x14ac:dyDescent="0.25">
      <c r="B477" s="22"/>
      <c r="C477" s="22"/>
      <c r="D477" s="22"/>
    </row>
    <row r="478" spans="2:4" x14ac:dyDescent="0.25">
      <c r="B478" s="22"/>
      <c r="C478" s="22"/>
      <c r="D478" s="22"/>
    </row>
    <row r="479" spans="2:4" x14ac:dyDescent="0.25">
      <c r="B479" s="22"/>
      <c r="C479" s="22"/>
      <c r="D479" s="22"/>
    </row>
    <row r="480" spans="2:4" x14ac:dyDescent="0.25">
      <c r="B480" s="22"/>
      <c r="C480" s="22"/>
      <c r="D480" s="22"/>
    </row>
    <row r="481" spans="2:4" x14ac:dyDescent="0.25">
      <c r="B481" s="22"/>
      <c r="C481" s="22"/>
      <c r="D481" s="22"/>
    </row>
    <row r="482" spans="2:4" x14ac:dyDescent="0.25">
      <c r="B482" s="22"/>
      <c r="C482" s="22"/>
      <c r="D482" s="22"/>
    </row>
    <row r="483" spans="2:4" x14ac:dyDescent="0.25">
      <c r="B483" s="22"/>
      <c r="C483" s="22"/>
      <c r="D483" s="22"/>
    </row>
    <row r="484" spans="2:4" x14ac:dyDescent="0.25">
      <c r="B484" s="22"/>
      <c r="C484" s="22"/>
      <c r="D484" s="22"/>
    </row>
    <row r="485" spans="2:4" x14ac:dyDescent="0.25">
      <c r="B485" s="22"/>
      <c r="C485" s="22"/>
      <c r="D485" s="22"/>
    </row>
    <row r="486" spans="2:4" x14ac:dyDescent="0.25">
      <c r="B486" s="22"/>
      <c r="C486" s="22"/>
      <c r="D486" s="22"/>
    </row>
    <row r="487" spans="2:4" x14ac:dyDescent="0.25">
      <c r="B487" s="22"/>
      <c r="C487" s="22"/>
      <c r="D487" s="22"/>
    </row>
    <row r="488" spans="2:4" x14ac:dyDescent="0.25">
      <c r="B488" s="22"/>
      <c r="C488" s="22"/>
      <c r="D488" s="22"/>
    </row>
    <row r="489" spans="2:4" x14ac:dyDescent="0.25">
      <c r="B489" s="22"/>
      <c r="C489" s="22"/>
      <c r="D489" s="22"/>
    </row>
    <row r="490" spans="2:4" x14ac:dyDescent="0.25">
      <c r="B490" s="22"/>
      <c r="C490" s="22"/>
      <c r="D490" s="22"/>
    </row>
    <row r="491" spans="2:4" x14ac:dyDescent="0.25">
      <c r="B491" s="22"/>
      <c r="C491" s="22"/>
      <c r="D491" s="22"/>
    </row>
    <row r="492" spans="2:4" x14ac:dyDescent="0.25">
      <c r="B492" s="22"/>
      <c r="C492" s="22"/>
      <c r="D492" s="22"/>
    </row>
    <row r="493" spans="2:4" x14ac:dyDescent="0.25">
      <c r="B493" s="22"/>
      <c r="C493" s="22"/>
      <c r="D493" s="22"/>
    </row>
    <row r="494" spans="2:4" x14ac:dyDescent="0.25">
      <c r="B494" s="22"/>
      <c r="C494" s="22"/>
      <c r="D494" s="22"/>
    </row>
    <row r="495" spans="2:4" x14ac:dyDescent="0.25">
      <c r="B495" s="22"/>
      <c r="C495" s="22"/>
      <c r="D495" s="22"/>
    </row>
    <row r="496" spans="2:4" x14ac:dyDescent="0.25">
      <c r="B496" s="22"/>
      <c r="C496" s="22"/>
      <c r="D496" s="22"/>
    </row>
    <row r="497" spans="2:4" x14ac:dyDescent="0.25">
      <c r="B497" s="22"/>
      <c r="C497" s="22"/>
      <c r="D497" s="22"/>
    </row>
    <row r="498" spans="2:4" x14ac:dyDescent="0.25">
      <c r="B498" s="22"/>
      <c r="C498" s="22"/>
      <c r="D498" s="22"/>
    </row>
    <row r="499" spans="2:4" x14ac:dyDescent="0.25">
      <c r="B499" s="22"/>
      <c r="C499" s="22"/>
      <c r="D499" s="22"/>
    </row>
    <row r="500" spans="2:4" x14ac:dyDescent="0.25">
      <c r="B500" s="22"/>
      <c r="C500" s="22"/>
      <c r="D500" s="22"/>
    </row>
    <row r="501" spans="2:4" x14ac:dyDescent="0.25">
      <c r="B501" s="22"/>
      <c r="C501" s="22"/>
      <c r="D501" s="22"/>
    </row>
    <row r="502" spans="2:4" x14ac:dyDescent="0.25">
      <c r="B502" s="22"/>
      <c r="C502" s="22"/>
      <c r="D502" s="22"/>
    </row>
    <row r="503" spans="2:4" x14ac:dyDescent="0.25">
      <c r="B503" s="22"/>
      <c r="C503" s="22"/>
      <c r="D503" s="22"/>
    </row>
    <row r="504" spans="2:4" x14ac:dyDescent="0.25">
      <c r="B504" s="22"/>
      <c r="C504" s="22"/>
      <c r="D504" s="22"/>
    </row>
    <row r="505" spans="2:4" x14ac:dyDescent="0.25">
      <c r="B505" s="22"/>
      <c r="C505" s="22"/>
      <c r="D505" s="22"/>
    </row>
    <row r="506" spans="2:4" x14ac:dyDescent="0.25">
      <c r="B506" s="22"/>
      <c r="C506" s="22"/>
      <c r="D506" s="22"/>
    </row>
    <row r="507" spans="2:4" x14ac:dyDescent="0.25">
      <c r="B507" s="22"/>
      <c r="C507" s="22"/>
      <c r="D507" s="22"/>
    </row>
    <row r="508" spans="2:4" x14ac:dyDescent="0.25">
      <c r="B508" s="22"/>
      <c r="C508" s="22"/>
      <c r="D508" s="22"/>
    </row>
    <row r="509" spans="2:4" x14ac:dyDescent="0.25">
      <c r="B509" s="22"/>
      <c r="C509" s="22"/>
      <c r="D509" s="22"/>
    </row>
    <row r="510" spans="2:4" x14ac:dyDescent="0.25">
      <c r="B510" s="22"/>
      <c r="C510" s="22"/>
      <c r="D510" s="22"/>
    </row>
    <row r="511" spans="2:4" x14ac:dyDescent="0.25">
      <c r="B511" s="22"/>
      <c r="C511" s="22"/>
      <c r="D511" s="22"/>
    </row>
    <row r="512" spans="2:4" x14ac:dyDescent="0.25">
      <c r="B512" s="22"/>
      <c r="C512" s="22"/>
      <c r="D512" s="22"/>
    </row>
    <row r="513" spans="2:4" x14ac:dyDescent="0.25">
      <c r="B513" s="22"/>
      <c r="C513" s="22"/>
      <c r="D513" s="22"/>
    </row>
    <row r="514" spans="2:4" x14ac:dyDescent="0.25">
      <c r="B514" s="22"/>
      <c r="C514" s="22"/>
      <c r="D514" s="22"/>
    </row>
    <row r="515" spans="2:4" x14ac:dyDescent="0.25">
      <c r="B515" s="22"/>
      <c r="C515" s="22"/>
      <c r="D515" s="22"/>
    </row>
    <row r="516" spans="2:4" x14ac:dyDescent="0.25">
      <c r="B516" s="22"/>
      <c r="C516" s="22"/>
      <c r="D516" s="22"/>
    </row>
    <row r="517" spans="2:4" x14ac:dyDescent="0.25">
      <c r="B517" s="22"/>
      <c r="C517" s="22"/>
      <c r="D517" s="22"/>
    </row>
    <row r="518" spans="2:4" x14ac:dyDescent="0.25">
      <c r="B518" s="22"/>
      <c r="C518" s="22"/>
      <c r="D518" s="22"/>
    </row>
    <row r="519" spans="2:4" x14ac:dyDescent="0.25">
      <c r="B519" s="22"/>
      <c r="C519" s="22"/>
      <c r="D519" s="22"/>
    </row>
    <row r="520" spans="2:4" x14ac:dyDescent="0.25">
      <c r="B520" s="22"/>
      <c r="C520" s="22"/>
      <c r="D520" s="22"/>
    </row>
    <row r="521" spans="2:4" x14ac:dyDescent="0.25">
      <c r="B521" s="22"/>
      <c r="C521" s="22"/>
      <c r="D521" s="22"/>
    </row>
    <row r="522" spans="2:4" x14ac:dyDescent="0.25">
      <c r="B522" s="22"/>
      <c r="C522" s="22"/>
      <c r="D522" s="22"/>
    </row>
    <row r="523" spans="2:4" x14ac:dyDescent="0.25">
      <c r="B523" s="22"/>
      <c r="C523" s="22"/>
      <c r="D523" s="22"/>
    </row>
    <row r="524" spans="2:4" x14ac:dyDescent="0.25">
      <c r="B524" s="22"/>
      <c r="C524" s="22"/>
      <c r="D524" s="22"/>
    </row>
    <row r="525" spans="2:4" x14ac:dyDescent="0.25">
      <c r="B525" s="22"/>
      <c r="C525" s="22"/>
      <c r="D525" s="22"/>
    </row>
  </sheetData>
  <mergeCells count="206">
    <mergeCell ref="H121:M121"/>
    <mergeCell ref="H122:M122"/>
    <mergeCell ref="H123:M123"/>
    <mergeCell ref="H124:J124"/>
    <mergeCell ref="K124:M124"/>
    <mergeCell ref="H91:M91"/>
    <mergeCell ref="H92:M92"/>
    <mergeCell ref="H93:M93"/>
    <mergeCell ref="H94:J94"/>
    <mergeCell ref="K94:M94"/>
    <mergeCell ref="H97:M97"/>
    <mergeCell ref="H98:M98"/>
    <mergeCell ref="H99:M99"/>
    <mergeCell ref="H100:J100"/>
    <mergeCell ref="K100:M100"/>
    <mergeCell ref="H103:M103"/>
    <mergeCell ref="H104:M104"/>
    <mergeCell ref="H105:M105"/>
    <mergeCell ref="H106:J106"/>
    <mergeCell ref="K106:M106"/>
    <mergeCell ref="H115:M115"/>
    <mergeCell ref="H116:M116"/>
    <mergeCell ref="H117:M117"/>
    <mergeCell ref="H118:J118"/>
    <mergeCell ref="A97:F97"/>
    <mergeCell ref="A98:F98"/>
    <mergeCell ref="A99:F99"/>
    <mergeCell ref="A100:C100"/>
    <mergeCell ref="D100:F100"/>
    <mergeCell ref="A91:F91"/>
    <mergeCell ref="A92:F92"/>
    <mergeCell ref="A93:F93"/>
    <mergeCell ref="A94:C94"/>
    <mergeCell ref="D94:F94"/>
    <mergeCell ref="A88:C88"/>
    <mergeCell ref="D88:F88"/>
    <mergeCell ref="H24:J24"/>
    <mergeCell ref="K24:M24"/>
    <mergeCell ref="A37:F37"/>
    <mergeCell ref="A38:F38"/>
    <mergeCell ref="H82:J82"/>
    <mergeCell ref="K82:M82"/>
    <mergeCell ref="A67:F67"/>
    <mergeCell ref="A68:F68"/>
    <mergeCell ref="A69:F69"/>
    <mergeCell ref="A70:C70"/>
    <mergeCell ref="D70:F70"/>
    <mergeCell ref="A73:F73"/>
    <mergeCell ref="A74:F74"/>
    <mergeCell ref="A75:F75"/>
    <mergeCell ref="A80:F80"/>
    <mergeCell ref="A81:F81"/>
    <mergeCell ref="A82:C82"/>
    <mergeCell ref="D82:F82"/>
    <mergeCell ref="H61:M61"/>
    <mergeCell ref="H62:M62"/>
    <mergeCell ref="H63:M63"/>
    <mergeCell ref="H64:J64"/>
    <mergeCell ref="A1:C1"/>
    <mergeCell ref="D1:F1"/>
    <mergeCell ref="H1:J1"/>
    <mergeCell ref="K1:M1"/>
    <mergeCell ref="A85:F85"/>
    <mergeCell ref="A86:F86"/>
    <mergeCell ref="A87:F87"/>
    <mergeCell ref="A2:M2"/>
    <mergeCell ref="A5:F5"/>
    <mergeCell ref="A13:F13"/>
    <mergeCell ref="A6:F6"/>
    <mergeCell ref="A14:F14"/>
    <mergeCell ref="A15:F15"/>
    <mergeCell ref="H5:M5"/>
    <mergeCell ref="H6:M6"/>
    <mergeCell ref="A11:M11"/>
    <mergeCell ref="H38:M38"/>
    <mergeCell ref="A7:F7"/>
    <mergeCell ref="A8:C8"/>
    <mergeCell ref="D8:F8"/>
    <mergeCell ref="D76:F76"/>
    <mergeCell ref="A79:F79"/>
    <mergeCell ref="A16:C16"/>
    <mergeCell ref="D16:F16"/>
    <mergeCell ref="H76:J76"/>
    <mergeCell ref="H80:M80"/>
    <mergeCell ref="H7:M7"/>
    <mergeCell ref="H8:J8"/>
    <mergeCell ref="K8:M8"/>
    <mergeCell ref="A39:F39"/>
    <mergeCell ref="A40:C40"/>
    <mergeCell ref="D40:F40"/>
    <mergeCell ref="H79:M79"/>
    <mergeCell ref="H44:M44"/>
    <mergeCell ref="H45:M45"/>
    <mergeCell ref="H46:J46"/>
    <mergeCell ref="K46:M46"/>
    <mergeCell ref="H49:M49"/>
    <mergeCell ref="H50:M50"/>
    <mergeCell ref="H39:M39"/>
    <mergeCell ref="H40:J40"/>
    <mergeCell ref="K40:M40"/>
    <mergeCell ref="H43:M43"/>
    <mergeCell ref="H51:M51"/>
    <mergeCell ref="H52:J52"/>
    <mergeCell ref="K52:M52"/>
    <mergeCell ref="H55:M55"/>
    <mergeCell ref="A76:C76"/>
    <mergeCell ref="H68:M68"/>
    <mergeCell ref="H69:M69"/>
    <mergeCell ref="H70:J70"/>
    <mergeCell ref="K70:M70"/>
    <mergeCell ref="H73:M73"/>
    <mergeCell ref="H74:M74"/>
    <mergeCell ref="H75:M75"/>
    <mergeCell ref="K64:M64"/>
    <mergeCell ref="H67:M67"/>
    <mergeCell ref="A58:C58"/>
    <mergeCell ref="D46:F46"/>
    <mergeCell ref="A49:F49"/>
    <mergeCell ref="A50:F50"/>
    <mergeCell ref="A51:F51"/>
    <mergeCell ref="A52:C52"/>
    <mergeCell ref="D52:F52"/>
    <mergeCell ref="A55:F55"/>
    <mergeCell ref="A56:F56"/>
    <mergeCell ref="A57:F57"/>
    <mergeCell ref="A61:F61"/>
    <mergeCell ref="A63:F63"/>
    <mergeCell ref="A64:C64"/>
    <mergeCell ref="A3:M3"/>
    <mergeCell ref="A27:F27"/>
    <mergeCell ref="A29:F29"/>
    <mergeCell ref="A30:F30"/>
    <mergeCell ref="A31:F31"/>
    <mergeCell ref="A32:C32"/>
    <mergeCell ref="D32:F32"/>
    <mergeCell ref="H13:M13"/>
    <mergeCell ref="H14:M14"/>
    <mergeCell ref="H15:M15"/>
    <mergeCell ref="H16:J16"/>
    <mergeCell ref="K16:M16"/>
    <mergeCell ref="A19:F19"/>
    <mergeCell ref="H19:M19"/>
    <mergeCell ref="A21:F21"/>
    <mergeCell ref="H21:M21"/>
    <mergeCell ref="A22:F22"/>
    <mergeCell ref="H22:M22"/>
    <mergeCell ref="A23:F23"/>
    <mergeCell ref="H23:M23"/>
    <mergeCell ref="D64:F64"/>
    <mergeCell ref="A117:F117"/>
    <mergeCell ref="A118:C118"/>
    <mergeCell ref="D118:F118"/>
    <mergeCell ref="H85:M85"/>
    <mergeCell ref="H86:M86"/>
    <mergeCell ref="H87:M87"/>
    <mergeCell ref="H88:J88"/>
    <mergeCell ref="K88:M88"/>
    <mergeCell ref="A24:C24"/>
    <mergeCell ref="D24:F24"/>
    <mergeCell ref="D58:F58"/>
    <mergeCell ref="A62:F62"/>
    <mergeCell ref="H37:M37"/>
    <mergeCell ref="A35:M35"/>
    <mergeCell ref="H81:M81"/>
    <mergeCell ref="K76:M76"/>
    <mergeCell ref="A43:F43"/>
    <mergeCell ref="A44:F44"/>
    <mergeCell ref="H56:M56"/>
    <mergeCell ref="H57:M57"/>
    <mergeCell ref="H58:J58"/>
    <mergeCell ref="K58:M58"/>
    <mergeCell ref="A45:F45"/>
    <mergeCell ref="A46:C46"/>
    <mergeCell ref="A112:C112"/>
    <mergeCell ref="D112:F112"/>
    <mergeCell ref="H109:M109"/>
    <mergeCell ref="H110:M110"/>
    <mergeCell ref="H111:M111"/>
    <mergeCell ref="H112:J112"/>
    <mergeCell ref="K112:M112"/>
    <mergeCell ref="A115:F115"/>
    <mergeCell ref="A116:F116"/>
    <mergeCell ref="H127:M127"/>
    <mergeCell ref="H128:M128"/>
    <mergeCell ref="H129:M129"/>
    <mergeCell ref="H130:J130"/>
    <mergeCell ref="K130:M130"/>
    <mergeCell ref="A103:F103"/>
    <mergeCell ref="A104:F104"/>
    <mergeCell ref="A105:F105"/>
    <mergeCell ref="A106:C106"/>
    <mergeCell ref="D106:F106"/>
    <mergeCell ref="A127:F127"/>
    <mergeCell ref="A128:F128"/>
    <mergeCell ref="A129:F129"/>
    <mergeCell ref="A130:C130"/>
    <mergeCell ref="D130:F130"/>
    <mergeCell ref="A121:F121"/>
    <mergeCell ref="A122:F122"/>
    <mergeCell ref="A123:F123"/>
    <mergeCell ref="A124:C124"/>
    <mergeCell ref="D124:F124"/>
    <mergeCell ref="K118:M118"/>
    <mergeCell ref="A109:F109"/>
    <mergeCell ref="A110:F110"/>
    <mergeCell ref="A111:F1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A239-AD47-47AF-A2B9-AE5E91F915C0}">
  <dimension ref="A1:J7"/>
  <sheetViews>
    <sheetView workbookViewId="0">
      <selection activeCell="A3" sqref="A3:F7"/>
    </sheetView>
  </sheetViews>
  <sheetFormatPr baseColWidth="10" defaultColWidth="11.5546875" defaultRowHeight="13.2" x14ac:dyDescent="0.25"/>
  <cols>
    <col min="1" max="1" width="20.33203125" style="2" bestFit="1" customWidth="1"/>
    <col min="2" max="4" width="11.5546875" style="2"/>
    <col min="5" max="6" width="13.33203125" style="2" bestFit="1" customWidth="1"/>
    <col min="7" max="7" width="1.33203125" style="2" customWidth="1"/>
    <col min="8" max="8" width="5.6640625" style="12" bestFit="1" customWidth="1"/>
    <col min="9" max="9" width="4.6640625" style="12" bestFit="1" customWidth="1"/>
    <col min="10" max="10" width="14.44140625" style="12" bestFit="1" customWidth="1"/>
    <col min="11" max="16384" width="11.5546875" style="2"/>
  </cols>
  <sheetData>
    <row r="1" spans="1:10" s="13" customFormat="1" ht="31.95" customHeight="1" x14ac:dyDescent="0.25">
      <c r="A1" s="14" t="s">
        <v>124</v>
      </c>
      <c r="B1" s="15">
        <v>46092</v>
      </c>
      <c r="H1" s="14"/>
      <c r="I1" s="14"/>
      <c r="J1" s="14"/>
    </row>
    <row r="2" spans="1:10" s="11" customFormat="1" x14ac:dyDescent="0.25">
      <c r="A2" s="11" t="s">
        <v>116</v>
      </c>
      <c r="B2" s="11" t="s">
        <v>117</v>
      </c>
      <c r="C2" s="11" t="s">
        <v>118</v>
      </c>
      <c r="D2" s="11" t="s">
        <v>119</v>
      </c>
      <c r="E2" s="11" t="s">
        <v>122</v>
      </c>
      <c r="F2" s="11" t="s">
        <v>123</v>
      </c>
      <c r="H2" s="11" t="s">
        <v>117</v>
      </c>
      <c r="I2" s="11" t="s">
        <v>120</v>
      </c>
      <c r="J2" s="11" t="s">
        <v>121</v>
      </c>
    </row>
    <row r="3" spans="1:10" ht="14.4" x14ac:dyDescent="0.25">
      <c r="A3" s="5" t="s">
        <v>40</v>
      </c>
      <c r="B3" s="6"/>
      <c r="C3" s="6"/>
      <c r="D3" s="6">
        <f>+B3*240+C3*4</f>
        <v>0</v>
      </c>
      <c r="E3" s="7">
        <v>5596</v>
      </c>
      <c r="F3" s="7">
        <f>+E3/1.21</f>
        <v>4624.7933884297518</v>
      </c>
      <c r="H3" s="12">
        <v>60</v>
      </c>
      <c r="I3" s="12">
        <v>4</v>
      </c>
      <c r="J3" s="12">
        <f>+H3*I3</f>
        <v>240</v>
      </c>
    </row>
    <row r="4" spans="1:10" ht="14.4" x14ac:dyDescent="0.25">
      <c r="A4" s="8" t="s">
        <v>15</v>
      </c>
      <c r="B4" s="6"/>
      <c r="C4" s="6"/>
      <c r="D4" s="6">
        <f>+B4*224+C4*4</f>
        <v>0</v>
      </c>
      <c r="E4" s="7">
        <v>7372.75</v>
      </c>
      <c r="F4" s="7">
        <f>+E4/1.21</f>
        <v>6093.181818181818</v>
      </c>
      <c r="H4" s="12">
        <v>56</v>
      </c>
      <c r="I4" s="12">
        <v>4</v>
      </c>
      <c r="J4" s="12">
        <f t="shared" ref="J4:J7" si="0">+H4*I4</f>
        <v>224</v>
      </c>
    </row>
    <row r="5" spans="1:10" ht="14.4" x14ac:dyDescent="0.25">
      <c r="A5" s="8" t="s">
        <v>41</v>
      </c>
      <c r="B5" s="6"/>
      <c r="C5" s="6"/>
      <c r="D5" s="6">
        <f>+B5*216+C5*4</f>
        <v>0</v>
      </c>
      <c r="E5" s="7">
        <v>12188</v>
      </c>
      <c r="F5" s="7">
        <f>+E5/1.21</f>
        <v>10072.727272727274</v>
      </c>
      <c r="H5" s="12">
        <v>54</v>
      </c>
      <c r="I5" s="12">
        <v>4</v>
      </c>
      <c r="J5" s="12">
        <f t="shared" si="0"/>
        <v>216</v>
      </c>
    </row>
    <row r="6" spans="1:10" ht="14.4" x14ac:dyDescent="0.25">
      <c r="A6" s="8" t="s">
        <v>42</v>
      </c>
      <c r="B6" s="6"/>
      <c r="C6" s="6"/>
      <c r="D6" s="6">
        <f>+B6*216+C6*4</f>
        <v>0</v>
      </c>
      <c r="E6" s="7">
        <v>9952.9</v>
      </c>
      <c r="F6" s="7">
        <f>+E6/1.21</f>
        <v>8225.5371900826449</v>
      </c>
      <c r="H6" s="12">
        <v>54</v>
      </c>
      <c r="I6" s="12">
        <v>4</v>
      </c>
      <c r="J6" s="12">
        <f t="shared" si="0"/>
        <v>216</v>
      </c>
    </row>
    <row r="7" spans="1:10" ht="14.4" x14ac:dyDescent="0.25">
      <c r="A7" s="8" t="s">
        <v>125</v>
      </c>
      <c r="B7" s="6"/>
      <c r="C7" s="6"/>
      <c r="D7" s="6">
        <f>+C7*2</f>
        <v>0</v>
      </c>
      <c r="E7" s="7">
        <v>5420.9</v>
      </c>
      <c r="F7" s="7">
        <f>+E7/1.21</f>
        <v>4480.0826446280989</v>
      </c>
      <c r="I7" s="12">
        <v>2</v>
      </c>
      <c r="J7" s="12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649E-7AB8-42F4-9710-B9CA81A7443C}">
  <sheetPr>
    <pageSetUpPr fitToPage="1"/>
  </sheetPr>
  <dimension ref="A1:Q95"/>
  <sheetViews>
    <sheetView tabSelected="1" topLeftCell="A56" workbookViewId="0">
      <selection sqref="A1:M81"/>
    </sheetView>
  </sheetViews>
  <sheetFormatPr baseColWidth="10" defaultColWidth="11.5546875" defaultRowHeight="13.8" customHeight="1" x14ac:dyDescent="0.25"/>
  <cols>
    <col min="1" max="1" width="25.88671875" style="2" bestFit="1" customWidth="1"/>
    <col min="2" max="2" width="8.44140625" style="2" bestFit="1" customWidth="1"/>
    <col min="3" max="4" width="9.44140625" style="2" bestFit="1" customWidth="1"/>
    <col min="5" max="5" width="13" style="2" bestFit="1" customWidth="1"/>
    <col min="6" max="6" width="14.5546875" style="2" bestFit="1" customWidth="1"/>
    <col min="7" max="7" width="1.33203125" style="2" customWidth="1"/>
    <col min="8" max="8" width="25.88671875" style="2" bestFit="1" customWidth="1"/>
    <col min="9" max="9" width="8.33203125" style="2" bestFit="1" customWidth="1"/>
    <col min="10" max="10" width="7.44140625" style="2" bestFit="1" customWidth="1"/>
    <col min="11" max="11" width="8.109375" style="2" bestFit="1" customWidth="1"/>
    <col min="12" max="12" width="12.88671875" style="2" bestFit="1" customWidth="1"/>
    <col min="13" max="13" width="14.5546875" style="2" bestFit="1" customWidth="1"/>
    <col min="14" max="14" width="1.33203125" style="2" customWidth="1"/>
    <col min="15" max="15" width="13" style="2" bestFit="1" customWidth="1"/>
    <col min="16" max="16384" width="11.5546875" style="2"/>
  </cols>
  <sheetData>
    <row r="1" spans="1:13" ht="21.6" customHeight="1" x14ac:dyDescent="0.25">
      <c r="A1" s="55" t="s">
        <v>63</v>
      </c>
      <c r="B1" s="56"/>
      <c r="C1" s="56"/>
      <c r="D1" s="57">
        <v>46182</v>
      </c>
      <c r="E1" s="57"/>
      <c r="F1" s="57"/>
      <c r="G1" s="1"/>
      <c r="H1" s="55" t="s">
        <v>64</v>
      </c>
      <c r="I1" s="56"/>
      <c r="J1" s="56"/>
      <c r="K1" s="57">
        <v>46182</v>
      </c>
      <c r="L1" s="57"/>
      <c r="M1" s="57"/>
    </row>
    <row r="2" spans="1:13" ht="9.6" customHeight="1" x14ac:dyDescent="0.25"/>
    <row r="3" spans="1:13" ht="39" customHeight="1" x14ac:dyDescent="0.25">
      <c r="A3" s="63" t="s">
        <v>142</v>
      </c>
      <c r="B3" s="64"/>
      <c r="C3" s="64"/>
      <c r="D3" s="64"/>
      <c r="E3" s="64"/>
      <c r="F3" s="65"/>
      <c r="H3" s="63" t="s">
        <v>151</v>
      </c>
      <c r="I3" s="64"/>
      <c r="J3" s="64"/>
      <c r="K3" s="64"/>
      <c r="L3" s="64"/>
      <c r="M3" s="65"/>
    </row>
    <row r="4" spans="1:13" ht="9.6" customHeight="1" x14ac:dyDescent="0.25"/>
    <row r="5" spans="1:13" ht="13.8" customHeight="1" x14ac:dyDescent="0.25">
      <c r="A5" s="30" t="s">
        <v>46</v>
      </c>
      <c r="B5" s="31"/>
      <c r="C5" s="31"/>
      <c r="D5" s="31"/>
      <c r="E5" s="31"/>
      <c r="F5" s="32"/>
      <c r="H5" s="30" t="s">
        <v>65</v>
      </c>
      <c r="I5" s="31"/>
      <c r="J5" s="31"/>
      <c r="K5" s="31"/>
      <c r="L5" s="31"/>
      <c r="M5" s="32"/>
    </row>
    <row r="6" spans="1:13" ht="13.8" customHeight="1" x14ac:dyDescent="0.25">
      <c r="A6" s="33" t="s">
        <v>94</v>
      </c>
      <c r="B6" s="31"/>
      <c r="C6" s="31"/>
      <c r="D6" s="31"/>
      <c r="E6" s="31"/>
      <c r="F6" s="32"/>
      <c r="H6" s="33" t="s">
        <v>89</v>
      </c>
      <c r="I6" s="31"/>
      <c r="J6" s="31"/>
      <c r="K6" s="31"/>
      <c r="L6" s="31"/>
      <c r="M6" s="32"/>
    </row>
    <row r="7" spans="1:13" ht="13.8" customHeight="1" x14ac:dyDescent="0.25">
      <c r="A7" s="33" t="s">
        <v>49</v>
      </c>
      <c r="B7" s="31"/>
      <c r="C7" s="31"/>
      <c r="D7" s="31"/>
      <c r="E7" s="31"/>
      <c r="F7" s="32"/>
      <c r="H7" s="33" t="s">
        <v>66</v>
      </c>
      <c r="I7" s="31"/>
      <c r="J7" s="31"/>
      <c r="K7" s="31"/>
      <c r="L7" s="31"/>
      <c r="M7" s="32"/>
    </row>
    <row r="8" spans="1:13" ht="13.8" customHeight="1" x14ac:dyDescent="0.25">
      <c r="A8" s="33" t="s">
        <v>50</v>
      </c>
      <c r="B8" s="31"/>
      <c r="C8" s="32"/>
      <c r="D8" s="33" t="s">
        <v>8</v>
      </c>
      <c r="E8" s="31"/>
      <c r="F8" s="32"/>
      <c r="H8" s="33" t="s">
        <v>17</v>
      </c>
      <c r="I8" s="31"/>
      <c r="J8" s="32"/>
      <c r="K8" s="60" t="s">
        <v>8</v>
      </c>
      <c r="L8" s="61"/>
      <c r="M8" s="62"/>
    </row>
    <row r="9" spans="1:13" ht="13.8" customHeight="1" x14ac:dyDescent="0.25">
      <c r="A9" s="3" t="s">
        <v>9</v>
      </c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  <c r="H9" s="3" t="s">
        <v>9</v>
      </c>
      <c r="I9" s="4" t="s">
        <v>10</v>
      </c>
      <c r="J9" s="4" t="s">
        <v>11</v>
      </c>
      <c r="K9" s="4" t="s">
        <v>12</v>
      </c>
      <c r="L9" s="4" t="s">
        <v>13</v>
      </c>
      <c r="M9" s="4" t="s">
        <v>14</v>
      </c>
    </row>
    <row r="10" spans="1:13" ht="13.8" customHeight="1" x14ac:dyDescent="0.25">
      <c r="A10" s="5" t="s">
        <v>40</v>
      </c>
      <c r="B10" s="6">
        <v>2</v>
      </c>
      <c r="C10" s="10"/>
      <c r="D10" s="6">
        <f>C10*4+B10*240</f>
        <v>480</v>
      </c>
      <c r="E10" s="7">
        <v>6215.8</v>
      </c>
      <c r="F10" s="7">
        <f>+E10/1.21</f>
        <v>5137.0247933884302</v>
      </c>
      <c r="H10" s="5" t="s">
        <v>40</v>
      </c>
      <c r="I10" s="6">
        <v>8</v>
      </c>
      <c r="J10" s="6"/>
      <c r="K10" s="6">
        <f>+I10*240+J10*4</f>
        <v>1920</v>
      </c>
      <c r="L10" s="7">
        <v>6215.8</v>
      </c>
      <c r="M10" s="7">
        <f>+L10/1.21</f>
        <v>5137.0247933884302</v>
      </c>
    </row>
    <row r="11" spans="1:13" ht="9.6" customHeight="1" x14ac:dyDescent="0.25">
      <c r="A11" s="17"/>
      <c r="B11" s="18"/>
      <c r="C11" s="19"/>
      <c r="D11" s="18"/>
      <c r="E11" s="20"/>
      <c r="F11" s="20"/>
    </row>
    <row r="12" spans="1:13" s="26" customFormat="1" ht="13.8" customHeight="1" x14ac:dyDescent="0.25">
      <c r="A12" s="44" t="s">
        <v>35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3" s="26" customFormat="1" ht="9.6" customHeight="1" x14ac:dyDescent="0.25">
      <c r="B13" s="22"/>
      <c r="C13" s="22"/>
      <c r="D13" s="22"/>
    </row>
    <row r="14" spans="1:13" s="26" customFormat="1" ht="13.8" customHeight="1" x14ac:dyDescent="0.25">
      <c r="A14" s="30" t="s">
        <v>1</v>
      </c>
      <c r="B14" s="31"/>
      <c r="C14" s="31"/>
      <c r="D14" s="31"/>
      <c r="E14" s="31"/>
      <c r="F14" s="32"/>
    </row>
    <row r="15" spans="1:13" s="26" customFormat="1" ht="13.8" customHeight="1" x14ac:dyDescent="0.25">
      <c r="A15" s="40" t="s">
        <v>3</v>
      </c>
      <c r="B15" s="31"/>
      <c r="C15" s="31"/>
      <c r="D15" s="31"/>
      <c r="E15" s="31"/>
      <c r="F15" s="32"/>
    </row>
    <row r="16" spans="1:13" s="26" customFormat="1" ht="13.8" customHeight="1" x14ac:dyDescent="0.25">
      <c r="A16" s="40" t="s">
        <v>5</v>
      </c>
      <c r="B16" s="31"/>
      <c r="C16" s="31"/>
      <c r="D16" s="31"/>
      <c r="E16" s="31"/>
      <c r="F16" s="32"/>
    </row>
    <row r="17" spans="1:13" s="26" customFormat="1" ht="13.8" customHeight="1" x14ac:dyDescent="0.25">
      <c r="A17" s="33" t="s">
        <v>6</v>
      </c>
      <c r="B17" s="31"/>
      <c r="C17" s="32"/>
      <c r="D17" s="33" t="s">
        <v>8</v>
      </c>
      <c r="E17" s="31"/>
      <c r="F17" s="32"/>
    </row>
    <row r="18" spans="1:13" s="26" customFormat="1" ht="13.8" customHeight="1" x14ac:dyDescent="0.25">
      <c r="A18" s="3" t="s">
        <v>9</v>
      </c>
      <c r="B18" s="4" t="s">
        <v>10</v>
      </c>
      <c r="C18" s="4" t="s">
        <v>11</v>
      </c>
      <c r="D18" s="4" t="s">
        <v>12</v>
      </c>
      <c r="E18" s="4" t="s">
        <v>13</v>
      </c>
      <c r="F18" s="4" t="s">
        <v>14</v>
      </c>
    </row>
    <row r="19" spans="1:13" s="26" customFormat="1" ht="13.8" customHeight="1" x14ac:dyDescent="0.25">
      <c r="A19" s="5" t="s">
        <v>40</v>
      </c>
      <c r="B19" s="6"/>
      <c r="C19" s="6">
        <v>10</v>
      </c>
      <c r="D19" s="6">
        <f>+B19*240+C19*4</f>
        <v>40</v>
      </c>
      <c r="E19" s="7">
        <v>6265.8</v>
      </c>
      <c r="F19" s="7">
        <f>+E19/1.21</f>
        <v>5178.3471074380168</v>
      </c>
    </row>
    <row r="20" spans="1:13" s="26" customFormat="1" ht="13.8" customHeight="1" x14ac:dyDescent="0.25">
      <c r="A20" s="8" t="s">
        <v>15</v>
      </c>
      <c r="B20" s="6"/>
      <c r="C20" s="6">
        <v>67</v>
      </c>
      <c r="D20" s="6">
        <f>+B20*224+C20*4</f>
        <v>268</v>
      </c>
      <c r="E20" s="7">
        <v>8004.44</v>
      </c>
      <c r="F20" s="7">
        <f>+E20/1.21</f>
        <v>6615.2396694214876</v>
      </c>
    </row>
    <row r="21" spans="1:13" s="26" customFormat="1" ht="13.8" customHeight="1" x14ac:dyDescent="0.25">
      <c r="A21" s="8" t="s">
        <v>42</v>
      </c>
      <c r="B21" s="6"/>
      <c r="C21" s="6">
        <v>3</v>
      </c>
      <c r="D21" s="6">
        <f>+B21*216+C21*4</f>
        <v>12</v>
      </c>
      <c r="E21" s="7">
        <v>10946.12</v>
      </c>
      <c r="F21" s="7">
        <f>+E21/1.21</f>
        <v>9046.380165289258</v>
      </c>
    </row>
    <row r="22" spans="1:13" s="26" customFormat="1" ht="13.8" customHeight="1" x14ac:dyDescent="0.25">
      <c r="A22" s="8" t="s">
        <v>125</v>
      </c>
      <c r="B22" s="6"/>
      <c r="C22" s="6">
        <v>11</v>
      </c>
      <c r="D22" s="6">
        <f>C22*2</f>
        <v>22</v>
      </c>
      <c r="E22" s="7">
        <v>6428.54</v>
      </c>
      <c r="F22" s="7">
        <f>+E22/1.21</f>
        <v>5312.8429752066113</v>
      </c>
    </row>
    <row r="23" spans="1:13" s="26" customFormat="1" ht="13.8" customHeight="1" x14ac:dyDescent="0.25">
      <c r="A23" s="8" t="s">
        <v>152</v>
      </c>
      <c r="B23" s="6"/>
      <c r="C23" s="6">
        <v>15</v>
      </c>
      <c r="D23" s="6">
        <f>+C23*1</f>
        <v>15</v>
      </c>
      <c r="E23" s="7">
        <v>28596.2</v>
      </c>
      <c r="F23" s="7">
        <f>+E23/1.21</f>
        <v>23633.223140495869</v>
      </c>
    </row>
    <row r="24" spans="1:13" ht="9.6" customHeight="1" x14ac:dyDescent="0.25"/>
    <row r="25" spans="1:13" ht="17.399999999999999" customHeight="1" x14ac:dyDescent="0.25">
      <c r="A25" s="37" t="s">
        <v>143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1:13" ht="9.6" customHeight="1" x14ac:dyDescent="0.25"/>
    <row r="27" spans="1:13" ht="13.8" customHeight="1" x14ac:dyDescent="0.25">
      <c r="A27" s="45" t="s">
        <v>75</v>
      </c>
      <c r="B27" s="31"/>
      <c r="C27" s="31"/>
      <c r="D27" s="31"/>
      <c r="E27" s="31"/>
      <c r="F27" s="32"/>
      <c r="H27" s="30" t="s">
        <v>129</v>
      </c>
      <c r="I27" s="31"/>
      <c r="J27" s="31"/>
      <c r="K27" s="31"/>
      <c r="L27" s="31"/>
      <c r="M27" s="32"/>
    </row>
    <row r="28" spans="1:13" ht="13.8" customHeight="1" x14ac:dyDescent="0.25">
      <c r="A28" s="40" t="s">
        <v>74</v>
      </c>
      <c r="B28" s="31"/>
      <c r="C28" s="31"/>
      <c r="D28" s="31"/>
      <c r="E28" s="31"/>
      <c r="F28" s="32"/>
      <c r="H28" s="33" t="s">
        <v>130</v>
      </c>
      <c r="I28" s="31"/>
      <c r="J28" s="31"/>
      <c r="K28" s="31"/>
      <c r="L28" s="31"/>
      <c r="M28" s="32"/>
    </row>
    <row r="29" spans="1:13" ht="13.8" customHeight="1" x14ac:dyDescent="0.25">
      <c r="A29" s="33" t="s">
        <v>76</v>
      </c>
      <c r="B29" s="31"/>
      <c r="C29" s="31"/>
      <c r="D29" s="31"/>
      <c r="E29" s="31"/>
      <c r="F29" s="32"/>
      <c r="H29" s="33"/>
      <c r="I29" s="31"/>
      <c r="J29" s="31"/>
      <c r="K29" s="31"/>
      <c r="L29" s="31"/>
      <c r="M29" s="32"/>
    </row>
    <row r="30" spans="1:13" ht="13.8" customHeight="1" x14ac:dyDescent="0.25">
      <c r="A30" s="33" t="s">
        <v>17</v>
      </c>
      <c r="B30" s="31"/>
      <c r="C30" s="32"/>
      <c r="D30" s="33" t="s">
        <v>7</v>
      </c>
      <c r="E30" s="31"/>
      <c r="F30" s="32"/>
      <c r="H30" s="33" t="s">
        <v>17</v>
      </c>
      <c r="I30" s="31"/>
      <c r="J30" s="32"/>
      <c r="K30" s="33" t="s">
        <v>7</v>
      </c>
      <c r="L30" s="31"/>
      <c r="M30" s="32"/>
    </row>
    <row r="31" spans="1:13" ht="13.8" customHeight="1" x14ac:dyDescent="0.25">
      <c r="A31" s="3" t="s">
        <v>9</v>
      </c>
      <c r="B31" s="4" t="s">
        <v>10</v>
      </c>
      <c r="C31" s="4" t="s">
        <v>11</v>
      </c>
      <c r="D31" s="4" t="s">
        <v>12</v>
      </c>
      <c r="E31" s="4" t="s">
        <v>13</v>
      </c>
      <c r="F31" s="4" t="s">
        <v>14</v>
      </c>
      <c r="H31" s="3" t="s">
        <v>9</v>
      </c>
      <c r="I31" s="4" t="s">
        <v>10</v>
      </c>
      <c r="J31" s="4" t="s">
        <v>11</v>
      </c>
      <c r="K31" s="4" t="s">
        <v>12</v>
      </c>
      <c r="L31" s="4" t="s">
        <v>13</v>
      </c>
      <c r="M31" s="4" t="s">
        <v>14</v>
      </c>
    </row>
    <row r="32" spans="1:13" ht="13.8" customHeight="1" x14ac:dyDescent="0.25">
      <c r="A32" s="5" t="s">
        <v>40</v>
      </c>
      <c r="B32" s="6"/>
      <c r="C32" s="10">
        <v>30</v>
      </c>
      <c r="D32" s="6">
        <f>C32*4+B32*240</f>
        <v>120</v>
      </c>
      <c r="E32" s="7">
        <v>6275.8</v>
      </c>
      <c r="F32" s="7">
        <f>+E32/1.21</f>
        <v>5186.6115702479337</v>
      </c>
      <c r="H32" s="5" t="s">
        <v>40</v>
      </c>
      <c r="I32" s="6">
        <v>1</v>
      </c>
      <c r="J32" s="10"/>
      <c r="K32" s="6">
        <f>J32*4+I32*240</f>
        <v>240</v>
      </c>
      <c r="L32" s="7">
        <v>6275.8</v>
      </c>
      <c r="M32" s="7">
        <f>+L32/1.21</f>
        <v>5186.6115702479337</v>
      </c>
    </row>
    <row r="33" spans="1:13" ht="13.8" customHeight="1" x14ac:dyDescent="0.25">
      <c r="A33" s="8" t="s">
        <v>15</v>
      </c>
      <c r="B33" s="6"/>
      <c r="C33" s="10">
        <v>10</v>
      </c>
      <c r="D33" s="6">
        <f>+C33*4</f>
        <v>40</v>
      </c>
      <c r="E33" s="7">
        <v>8014.44</v>
      </c>
      <c r="F33" s="7">
        <f t="shared" ref="F33" si="0">+E33/1.21</f>
        <v>6623.5041322314046</v>
      </c>
      <c r="H33" s="8" t="s">
        <v>15</v>
      </c>
      <c r="I33" s="6">
        <v>1</v>
      </c>
      <c r="J33" s="6"/>
      <c r="K33" s="6">
        <f>+J33*4</f>
        <v>0</v>
      </c>
      <c r="L33" s="7">
        <v>8014.44</v>
      </c>
      <c r="M33" s="7">
        <f>+L33/1.21</f>
        <v>6623.5041322314046</v>
      </c>
    </row>
    <row r="34" spans="1:13" ht="13.8" customHeight="1" x14ac:dyDescent="0.25">
      <c r="A34" s="8" t="s">
        <v>42</v>
      </c>
      <c r="B34" s="6"/>
      <c r="C34" s="6">
        <v>30</v>
      </c>
      <c r="D34" s="6">
        <f>+C34*4</f>
        <v>120</v>
      </c>
      <c r="E34" s="7">
        <v>10956.12</v>
      </c>
      <c r="F34" s="7">
        <f>+E34/1.21</f>
        <v>9054.644628099175</v>
      </c>
    </row>
    <row r="35" spans="1:13" ht="9.6" customHeight="1" x14ac:dyDescent="0.25"/>
    <row r="36" spans="1:13" ht="13.8" customHeight="1" x14ac:dyDescent="0.25">
      <c r="A36" s="30" t="s">
        <v>111</v>
      </c>
      <c r="B36" s="31"/>
      <c r="C36" s="31"/>
      <c r="D36" s="31"/>
      <c r="E36" s="31"/>
      <c r="F36" s="32"/>
      <c r="H36" s="30" t="s">
        <v>127</v>
      </c>
      <c r="I36" s="31"/>
      <c r="J36" s="31"/>
      <c r="K36" s="31"/>
      <c r="L36" s="31"/>
      <c r="M36" s="32"/>
    </row>
    <row r="37" spans="1:13" ht="13.8" customHeight="1" x14ac:dyDescent="0.25">
      <c r="A37" s="33" t="s">
        <v>110</v>
      </c>
      <c r="B37" s="31"/>
      <c r="C37" s="31"/>
      <c r="D37" s="31"/>
      <c r="E37" s="31"/>
      <c r="F37" s="32"/>
      <c r="H37" s="33" t="s">
        <v>128</v>
      </c>
      <c r="I37" s="31"/>
      <c r="J37" s="31"/>
      <c r="K37" s="31"/>
      <c r="L37" s="31"/>
      <c r="M37" s="32"/>
    </row>
    <row r="38" spans="1:13" ht="13.8" customHeight="1" x14ac:dyDescent="0.25">
      <c r="A38" s="33" t="s">
        <v>115</v>
      </c>
      <c r="B38" s="31"/>
      <c r="C38" s="31"/>
      <c r="D38" s="31"/>
      <c r="E38" s="31"/>
      <c r="F38" s="32"/>
      <c r="H38" s="33"/>
      <c r="I38" s="31"/>
      <c r="J38" s="31"/>
      <c r="K38" s="31"/>
      <c r="L38" s="31"/>
      <c r="M38" s="32"/>
    </row>
    <row r="39" spans="1:13" ht="13.8" customHeight="1" x14ac:dyDescent="0.25">
      <c r="A39" s="33" t="s">
        <v>17</v>
      </c>
      <c r="B39" s="31"/>
      <c r="C39" s="32"/>
      <c r="D39" s="33" t="s">
        <v>7</v>
      </c>
      <c r="E39" s="31"/>
      <c r="F39" s="32"/>
      <c r="H39" s="33" t="s">
        <v>17</v>
      </c>
      <c r="I39" s="31"/>
      <c r="J39" s="32"/>
      <c r="K39" s="33" t="s">
        <v>7</v>
      </c>
      <c r="L39" s="31"/>
      <c r="M39" s="32"/>
    </row>
    <row r="40" spans="1:13" ht="13.8" customHeight="1" x14ac:dyDescent="0.25">
      <c r="A40" s="3" t="s">
        <v>9</v>
      </c>
      <c r="B40" s="4" t="s">
        <v>10</v>
      </c>
      <c r="C40" s="4" t="s">
        <v>11</v>
      </c>
      <c r="D40" s="4" t="s">
        <v>12</v>
      </c>
      <c r="E40" s="4" t="s">
        <v>13</v>
      </c>
      <c r="F40" s="4" t="s">
        <v>14</v>
      </c>
      <c r="H40" s="3" t="s">
        <v>9</v>
      </c>
      <c r="I40" s="4" t="s">
        <v>10</v>
      </c>
      <c r="J40" s="4" t="s">
        <v>11</v>
      </c>
      <c r="K40" s="4" t="s">
        <v>12</v>
      </c>
      <c r="L40" s="4" t="s">
        <v>13</v>
      </c>
      <c r="M40" s="4" t="s">
        <v>14</v>
      </c>
    </row>
    <row r="41" spans="1:13" ht="13.8" customHeight="1" x14ac:dyDescent="0.25">
      <c r="A41" s="5" t="s">
        <v>40</v>
      </c>
      <c r="B41" s="6"/>
      <c r="C41" s="6">
        <v>35</v>
      </c>
      <c r="D41" s="6">
        <f>+C41*4</f>
        <v>140</v>
      </c>
      <c r="E41" s="7">
        <v>6275.8</v>
      </c>
      <c r="F41" s="7">
        <f t="shared" ref="F41:F45" si="1">+E41/1.21</f>
        <v>5186.6115702479337</v>
      </c>
      <c r="H41" s="5" t="s">
        <v>40</v>
      </c>
      <c r="I41" s="6"/>
      <c r="J41" s="6">
        <v>2</v>
      </c>
      <c r="K41" s="6">
        <f>+J41*4</f>
        <v>8</v>
      </c>
      <c r="L41" s="7">
        <v>6275.8</v>
      </c>
      <c r="M41" s="7">
        <f>+L41/1.21</f>
        <v>5186.6115702479337</v>
      </c>
    </row>
    <row r="42" spans="1:13" ht="13.8" customHeight="1" x14ac:dyDescent="0.25">
      <c r="A42" s="8" t="s">
        <v>15</v>
      </c>
      <c r="B42" s="6"/>
      <c r="C42" s="6">
        <v>20</v>
      </c>
      <c r="D42" s="6">
        <f>+C42*4</f>
        <v>80</v>
      </c>
      <c r="E42" s="7">
        <v>8014.44</v>
      </c>
      <c r="F42" s="7">
        <f t="shared" si="1"/>
        <v>6623.5041322314046</v>
      </c>
      <c r="H42" s="8" t="s">
        <v>15</v>
      </c>
      <c r="I42" s="6"/>
      <c r="J42" s="6">
        <v>2</v>
      </c>
      <c r="K42" s="6">
        <f>+J42*4</f>
        <v>8</v>
      </c>
      <c r="L42" s="7">
        <v>8014.44</v>
      </c>
      <c r="M42" s="7">
        <f>+L42/1.21</f>
        <v>6623.5041322314046</v>
      </c>
    </row>
    <row r="43" spans="1:13" ht="13.8" customHeight="1" x14ac:dyDescent="0.25">
      <c r="A43" s="8" t="s">
        <v>42</v>
      </c>
      <c r="B43" s="6"/>
      <c r="C43" s="6">
        <v>5</v>
      </c>
      <c r="D43" s="6">
        <f>+C43*4</f>
        <v>20</v>
      </c>
      <c r="E43" s="7">
        <v>10956.12</v>
      </c>
      <c r="F43" s="7">
        <f t="shared" si="1"/>
        <v>9054.644628099175</v>
      </c>
      <c r="H43" s="8" t="s">
        <v>42</v>
      </c>
      <c r="I43" s="6"/>
      <c r="J43" s="6">
        <v>1</v>
      </c>
      <c r="K43" s="6">
        <f>+J43*4</f>
        <v>4</v>
      </c>
      <c r="L43" s="7">
        <v>10956.12</v>
      </c>
      <c r="M43" s="7">
        <f>+L43/1.21</f>
        <v>9054.644628099175</v>
      </c>
    </row>
    <row r="44" spans="1:13" ht="13.8" customHeight="1" x14ac:dyDescent="0.25">
      <c r="A44" s="8" t="s">
        <v>125</v>
      </c>
      <c r="B44" s="6"/>
      <c r="C44" s="6">
        <v>5</v>
      </c>
      <c r="D44" s="6">
        <f>+C44*2</f>
        <v>10</v>
      </c>
      <c r="E44" s="7">
        <v>6438.54</v>
      </c>
      <c r="F44" s="7">
        <f t="shared" si="1"/>
        <v>5321.1074380165292</v>
      </c>
      <c r="H44" s="8" t="s">
        <v>125</v>
      </c>
      <c r="I44" s="6"/>
      <c r="J44" s="6">
        <v>2</v>
      </c>
      <c r="K44" s="6">
        <f>+J44*2</f>
        <v>4</v>
      </c>
      <c r="L44" s="7">
        <v>6438.54</v>
      </c>
      <c r="M44" s="7">
        <f>+L44/1.21</f>
        <v>5321.1074380165292</v>
      </c>
    </row>
    <row r="45" spans="1:13" ht="13.8" customHeight="1" x14ac:dyDescent="0.25">
      <c r="A45" s="8" t="s">
        <v>140</v>
      </c>
      <c r="B45" s="6"/>
      <c r="C45" s="6">
        <v>2</v>
      </c>
      <c r="D45" s="6"/>
      <c r="E45" s="7">
        <v>6543.6</v>
      </c>
      <c r="F45" s="7">
        <f t="shared" si="1"/>
        <v>5407.9338842975212</v>
      </c>
      <c r="H45" s="8" t="s">
        <v>141</v>
      </c>
      <c r="I45" s="6"/>
      <c r="J45" s="6">
        <v>1</v>
      </c>
      <c r="K45" s="6"/>
      <c r="L45" s="7">
        <v>11901.66</v>
      </c>
      <c r="M45" s="7">
        <f>+L45/1.21</f>
        <v>9836.0826446280989</v>
      </c>
    </row>
    <row r="46" spans="1:13" ht="54" customHeight="1" x14ac:dyDescent="0.25"/>
    <row r="47" spans="1:13" ht="13.8" customHeight="1" x14ac:dyDescent="0.25">
      <c r="A47" s="30" t="s">
        <v>33</v>
      </c>
      <c r="B47" s="31"/>
      <c r="C47" s="31"/>
      <c r="D47" s="31"/>
      <c r="E47" s="31"/>
      <c r="F47" s="32"/>
      <c r="H47" s="45" t="s">
        <v>109</v>
      </c>
      <c r="I47" s="31"/>
      <c r="J47" s="31"/>
      <c r="K47" s="31"/>
      <c r="L47" s="31"/>
      <c r="M47" s="32"/>
    </row>
    <row r="48" spans="1:13" ht="13.8" customHeight="1" x14ac:dyDescent="0.25">
      <c r="A48" s="33" t="s">
        <v>87</v>
      </c>
      <c r="B48" s="31"/>
      <c r="C48" s="31"/>
      <c r="D48" s="31"/>
      <c r="E48" s="31"/>
      <c r="F48" s="32"/>
      <c r="H48" s="40" t="s">
        <v>107</v>
      </c>
      <c r="I48" s="31"/>
      <c r="J48" s="31"/>
      <c r="K48" s="31"/>
      <c r="L48" s="31"/>
      <c r="M48" s="32"/>
    </row>
    <row r="49" spans="1:17" ht="13.8" customHeight="1" x14ac:dyDescent="0.25">
      <c r="A49" s="33" t="s">
        <v>34</v>
      </c>
      <c r="B49" s="31"/>
      <c r="C49" s="31"/>
      <c r="D49" s="31"/>
      <c r="E49" s="31"/>
      <c r="F49" s="32"/>
      <c r="H49" s="33" t="s">
        <v>108</v>
      </c>
      <c r="I49" s="31"/>
      <c r="J49" s="31"/>
      <c r="K49" s="31"/>
      <c r="L49" s="31"/>
      <c r="M49" s="32"/>
    </row>
    <row r="50" spans="1:17" ht="13.8" customHeight="1" x14ac:dyDescent="0.25">
      <c r="A50" s="33" t="s">
        <v>17</v>
      </c>
      <c r="B50" s="31"/>
      <c r="C50" s="32"/>
      <c r="D50" s="33" t="s">
        <v>8</v>
      </c>
      <c r="E50" s="31"/>
      <c r="F50" s="32"/>
      <c r="H50" s="33" t="s">
        <v>17</v>
      </c>
      <c r="I50" s="31"/>
      <c r="J50" s="32"/>
      <c r="K50" s="33" t="s">
        <v>8</v>
      </c>
      <c r="L50" s="31"/>
      <c r="M50" s="32"/>
    </row>
    <row r="51" spans="1:17" ht="13.8" customHeight="1" x14ac:dyDescent="0.25">
      <c r="A51" s="3" t="s">
        <v>9</v>
      </c>
      <c r="B51" s="4" t="s">
        <v>10</v>
      </c>
      <c r="C51" s="4" t="s">
        <v>11</v>
      </c>
      <c r="D51" s="4" t="s">
        <v>12</v>
      </c>
      <c r="E51" s="4" t="s">
        <v>13</v>
      </c>
      <c r="F51" s="4" t="s">
        <v>14</v>
      </c>
      <c r="H51" s="3" t="s">
        <v>9</v>
      </c>
      <c r="I51" s="4" t="s">
        <v>10</v>
      </c>
      <c r="J51" s="4" t="s">
        <v>11</v>
      </c>
      <c r="K51" s="4" t="s">
        <v>12</v>
      </c>
      <c r="L51" s="4" t="s">
        <v>13</v>
      </c>
      <c r="M51" s="4" t="s">
        <v>14</v>
      </c>
    </row>
    <row r="52" spans="1:17" ht="13.8" customHeight="1" x14ac:dyDescent="0.25">
      <c r="A52" s="5" t="s">
        <v>40</v>
      </c>
      <c r="B52" s="6"/>
      <c r="C52" s="6">
        <v>3</v>
      </c>
      <c r="D52" s="6">
        <f>+C52*4</f>
        <v>12</v>
      </c>
      <c r="E52" s="7">
        <v>6100</v>
      </c>
      <c r="F52" s="7">
        <f t="shared" ref="F52:F57" si="2">+E52/1.21</f>
        <v>5041.3223140495866</v>
      </c>
      <c r="H52" s="5" t="s">
        <v>40</v>
      </c>
      <c r="I52" s="6">
        <v>6</v>
      </c>
      <c r="J52" s="6"/>
      <c r="K52" s="6">
        <f>+I52*240+J52*4</f>
        <v>1440</v>
      </c>
      <c r="L52" s="7">
        <v>6275.8</v>
      </c>
      <c r="M52" s="7">
        <f>+L52/1.21</f>
        <v>5186.6115702479337</v>
      </c>
    </row>
    <row r="53" spans="1:17" ht="13.8" customHeight="1" x14ac:dyDescent="0.25">
      <c r="A53" s="8" t="s">
        <v>15</v>
      </c>
      <c r="B53" s="6"/>
      <c r="C53" s="6">
        <v>3</v>
      </c>
      <c r="D53" s="6">
        <f>+C53*4</f>
        <v>12</v>
      </c>
      <c r="E53" s="7">
        <v>7788</v>
      </c>
      <c r="F53" s="7">
        <f t="shared" si="2"/>
        <v>6436.3636363636369</v>
      </c>
      <c r="H53" s="8" t="s">
        <v>15</v>
      </c>
      <c r="I53" s="6"/>
      <c r="J53" s="6">
        <v>60</v>
      </c>
      <c r="K53" s="6">
        <f>+I53*224+J53*4</f>
        <v>240</v>
      </c>
      <c r="L53" s="7">
        <v>8014.44</v>
      </c>
      <c r="M53" s="7">
        <f>+L53/1.21</f>
        <v>6623.5041322314046</v>
      </c>
    </row>
    <row r="54" spans="1:17" ht="13.8" customHeight="1" x14ac:dyDescent="0.25">
      <c r="A54" s="8" t="s">
        <v>42</v>
      </c>
      <c r="B54" s="6"/>
      <c r="C54" s="6">
        <v>2</v>
      </c>
      <c r="D54" s="6">
        <f>+C54*4</f>
        <v>8</v>
      </c>
      <c r="E54" s="7">
        <v>10644</v>
      </c>
      <c r="F54" s="7">
        <f t="shared" si="2"/>
        <v>8796.6942148760336</v>
      </c>
      <c r="H54" s="8" t="s">
        <v>144</v>
      </c>
      <c r="I54" s="6"/>
      <c r="J54" s="6">
        <v>20</v>
      </c>
      <c r="K54" s="6">
        <f>+I54*216+J54*4</f>
        <v>80</v>
      </c>
      <c r="L54" s="7">
        <v>10956.12</v>
      </c>
      <c r="M54" s="7">
        <f>+L54/1.21</f>
        <v>9054.644628099175</v>
      </c>
    </row>
    <row r="55" spans="1:17" ht="13.8" customHeight="1" x14ac:dyDescent="0.25">
      <c r="A55" s="8" t="s">
        <v>125</v>
      </c>
      <c r="B55" s="6"/>
      <c r="C55" s="6">
        <v>3</v>
      </c>
      <c r="D55" s="6">
        <f>+C55*2</f>
        <v>6</v>
      </c>
      <c r="E55" s="7">
        <v>6258</v>
      </c>
      <c r="F55" s="7">
        <f t="shared" si="2"/>
        <v>5171.9008264462809</v>
      </c>
      <c r="H55" s="8" t="s">
        <v>125</v>
      </c>
      <c r="I55" s="6"/>
      <c r="J55" s="6">
        <v>5</v>
      </c>
      <c r="K55" s="6">
        <f>+J55*2</f>
        <v>10</v>
      </c>
      <c r="L55" s="7">
        <v>6438.54</v>
      </c>
      <c r="M55" s="7">
        <f>+L55/1.21</f>
        <v>5321.1074380165292</v>
      </c>
    </row>
    <row r="56" spans="1:17" ht="13.8" customHeight="1" x14ac:dyDescent="0.25">
      <c r="A56" s="8" t="s">
        <v>141</v>
      </c>
      <c r="B56" s="6"/>
      <c r="C56" s="6">
        <v>1</v>
      </c>
      <c r="D56" s="6"/>
      <c r="E56" s="7">
        <v>11562</v>
      </c>
      <c r="F56" s="7">
        <f t="shared" si="2"/>
        <v>9555.371900826447</v>
      </c>
      <c r="H56" s="8" t="s">
        <v>145</v>
      </c>
      <c r="I56" s="6"/>
      <c r="J56" s="6">
        <v>6</v>
      </c>
      <c r="K56" s="6"/>
      <c r="L56" s="7">
        <v>21252</v>
      </c>
      <c r="M56" s="7">
        <f>+L56/1.21</f>
        <v>17563.636363636364</v>
      </c>
    </row>
    <row r="57" spans="1:17" s="25" customFormat="1" ht="13.8" customHeight="1" x14ac:dyDescent="0.25">
      <c r="A57" s="8" t="s">
        <v>146</v>
      </c>
      <c r="B57" s="6"/>
      <c r="C57" s="6">
        <v>1</v>
      </c>
      <c r="D57" s="6"/>
      <c r="E57" s="7">
        <v>12480</v>
      </c>
      <c r="F57" s="7">
        <f t="shared" si="2"/>
        <v>10314.04958677686</v>
      </c>
    </row>
    <row r="58" spans="1:17" ht="9.6" customHeight="1" x14ac:dyDescent="0.25"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1:17" ht="13.8" customHeight="1" x14ac:dyDescent="0.25">
      <c r="A59" s="50" t="s">
        <v>60</v>
      </c>
      <c r="B59" s="47"/>
      <c r="C59" s="47"/>
      <c r="D59" s="47"/>
      <c r="E59" s="47"/>
      <c r="F59" s="48"/>
      <c r="H59" s="30" t="s">
        <v>16</v>
      </c>
      <c r="I59" s="35"/>
      <c r="J59" s="35"/>
      <c r="K59" s="35"/>
      <c r="L59" s="35"/>
      <c r="M59" s="36"/>
    </row>
    <row r="60" spans="1:17" ht="13.8" customHeight="1" x14ac:dyDescent="0.25">
      <c r="A60" s="46" t="s">
        <v>61</v>
      </c>
      <c r="B60" s="47"/>
      <c r="C60" s="47"/>
      <c r="D60" s="47"/>
      <c r="E60" s="47"/>
      <c r="F60" s="48"/>
      <c r="H60" s="33" t="s">
        <v>78</v>
      </c>
      <c r="I60" s="31"/>
      <c r="J60" s="31"/>
      <c r="K60" s="31"/>
      <c r="L60" s="31"/>
      <c r="M60" s="32"/>
    </row>
    <row r="61" spans="1:17" ht="13.8" customHeight="1" x14ac:dyDescent="0.25">
      <c r="A61" s="46" t="s">
        <v>62</v>
      </c>
      <c r="B61" s="47"/>
      <c r="C61" s="47"/>
      <c r="D61" s="47"/>
      <c r="E61" s="47"/>
      <c r="F61" s="48"/>
      <c r="H61" s="40" t="s">
        <v>95</v>
      </c>
      <c r="I61" s="53"/>
      <c r="J61" s="53"/>
      <c r="K61" s="53"/>
      <c r="L61" s="53"/>
      <c r="M61" s="54"/>
    </row>
    <row r="62" spans="1:17" ht="13.8" customHeight="1" x14ac:dyDescent="0.25">
      <c r="A62" s="49" t="s">
        <v>17</v>
      </c>
      <c r="B62" s="47"/>
      <c r="C62" s="48"/>
      <c r="D62" s="49" t="s">
        <v>8</v>
      </c>
      <c r="E62" s="47"/>
      <c r="F62" s="48"/>
      <c r="H62" s="33" t="s">
        <v>17</v>
      </c>
      <c r="I62" s="31"/>
      <c r="J62" s="32"/>
      <c r="K62" s="33" t="s">
        <v>8</v>
      </c>
      <c r="L62" s="31"/>
      <c r="M62" s="32"/>
    </row>
    <row r="63" spans="1:17" ht="13.8" customHeight="1" x14ac:dyDescent="0.25">
      <c r="A63" s="3" t="s">
        <v>9</v>
      </c>
      <c r="B63" s="4" t="s">
        <v>10</v>
      </c>
      <c r="C63" s="4" t="s">
        <v>11</v>
      </c>
      <c r="D63" s="4" t="s">
        <v>12</v>
      </c>
      <c r="E63" s="4" t="s">
        <v>13</v>
      </c>
      <c r="F63" s="4" t="s">
        <v>14</v>
      </c>
      <c r="H63" s="3" t="s">
        <v>9</v>
      </c>
      <c r="I63" s="4" t="s">
        <v>10</v>
      </c>
      <c r="J63" s="4" t="s">
        <v>11</v>
      </c>
      <c r="K63" s="4" t="s">
        <v>12</v>
      </c>
      <c r="L63" s="4" t="s">
        <v>13</v>
      </c>
      <c r="M63" s="4" t="s">
        <v>14</v>
      </c>
    </row>
    <row r="64" spans="1:17" s="23" customFormat="1" ht="13.8" customHeight="1" x14ac:dyDescent="0.25">
      <c r="A64" s="8" t="s">
        <v>15</v>
      </c>
      <c r="B64" s="6"/>
      <c r="C64" s="6">
        <v>6</v>
      </c>
      <c r="D64" s="6">
        <f>+C64*4</f>
        <v>24</v>
      </c>
      <c r="E64" s="7">
        <v>8014.44</v>
      </c>
      <c r="F64" s="7">
        <f>+E64/1.21</f>
        <v>6623.5041322314046</v>
      </c>
      <c r="H64" s="5" t="s">
        <v>40</v>
      </c>
      <c r="I64" s="6"/>
      <c r="J64" s="6">
        <v>50</v>
      </c>
      <c r="K64" s="6">
        <f>+I64*240+J64*4</f>
        <v>200</v>
      </c>
      <c r="L64" s="7">
        <v>6275.8</v>
      </c>
      <c r="M64" s="7">
        <f>+L64/1.21</f>
        <v>5186.6115702479337</v>
      </c>
    </row>
    <row r="65" spans="1:13" s="23" customFormat="1" ht="13.8" customHeight="1" x14ac:dyDescent="0.25">
      <c r="H65" s="8" t="s">
        <v>15</v>
      </c>
      <c r="I65" s="6"/>
      <c r="J65" s="6">
        <v>5</v>
      </c>
      <c r="K65" s="6">
        <f>+I65*224+J65*4</f>
        <v>20</v>
      </c>
      <c r="L65" s="7">
        <v>8014.44</v>
      </c>
      <c r="M65" s="7">
        <f>+L65/1.21</f>
        <v>6623.5041322314046</v>
      </c>
    </row>
    <row r="66" spans="1:13" s="23" customFormat="1" ht="13.8" customHeight="1" x14ac:dyDescent="0.25">
      <c r="H66" s="8" t="s">
        <v>125</v>
      </c>
      <c r="I66" s="6"/>
      <c r="J66" s="6">
        <v>30</v>
      </c>
      <c r="K66" s="6">
        <f>+J66*2</f>
        <v>60</v>
      </c>
      <c r="L66" s="7">
        <v>6438.54</v>
      </c>
      <c r="M66" s="7">
        <f>+L66/1.21</f>
        <v>5321.1074380165292</v>
      </c>
    </row>
    <row r="67" spans="1:13" s="23" customFormat="1" ht="13.8" customHeight="1" x14ac:dyDescent="0.25">
      <c r="H67" s="8" t="s">
        <v>147</v>
      </c>
      <c r="I67" s="6"/>
      <c r="J67" s="6">
        <v>1</v>
      </c>
      <c r="K67" s="6"/>
      <c r="L67" s="7">
        <v>15896</v>
      </c>
      <c r="M67" s="7">
        <f>+L67/1.21</f>
        <v>13137.190082644629</v>
      </c>
    </row>
    <row r="68" spans="1:13" s="25" customFormat="1" ht="9.6" customHeight="1" x14ac:dyDescent="0.25"/>
    <row r="69" spans="1:13" s="25" customFormat="1" ht="13.8" customHeight="1" x14ac:dyDescent="0.25">
      <c r="A69" s="30" t="s">
        <v>126</v>
      </c>
      <c r="B69" s="31"/>
      <c r="C69" s="31"/>
      <c r="D69" s="31"/>
      <c r="E69" s="31"/>
      <c r="F69" s="32"/>
      <c r="H69" s="30" t="s">
        <v>148</v>
      </c>
      <c r="I69" s="31"/>
      <c r="J69" s="31"/>
      <c r="K69" s="31"/>
      <c r="L69" s="31"/>
      <c r="M69" s="32"/>
    </row>
    <row r="70" spans="1:13" s="25" customFormat="1" ht="13.8" customHeight="1" x14ac:dyDescent="0.25">
      <c r="A70" s="34" t="s">
        <v>133</v>
      </c>
      <c r="B70" s="31"/>
      <c r="C70" s="31"/>
      <c r="D70" s="31"/>
      <c r="E70" s="31"/>
      <c r="F70" s="32"/>
      <c r="H70" s="33" t="s">
        <v>149</v>
      </c>
      <c r="I70" s="31"/>
      <c r="J70" s="31"/>
      <c r="K70" s="31"/>
      <c r="L70" s="31"/>
      <c r="M70" s="32"/>
    </row>
    <row r="71" spans="1:13" s="25" customFormat="1" ht="13.8" customHeight="1" x14ac:dyDescent="0.25">
      <c r="A71" s="33"/>
      <c r="B71" s="31"/>
      <c r="C71" s="31"/>
      <c r="D71" s="31"/>
      <c r="E71" s="31"/>
      <c r="F71" s="32"/>
      <c r="H71" s="33" t="s">
        <v>150</v>
      </c>
      <c r="I71" s="31"/>
      <c r="J71" s="31"/>
      <c r="K71" s="31"/>
      <c r="L71" s="31"/>
      <c r="M71" s="32"/>
    </row>
    <row r="72" spans="1:13" s="25" customFormat="1" ht="13.8" customHeight="1" x14ac:dyDescent="0.25">
      <c r="A72" s="33" t="s">
        <v>17</v>
      </c>
      <c r="B72" s="31"/>
      <c r="C72" s="32"/>
      <c r="D72" s="33" t="s">
        <v>7</v>
      </c>
      <c r="E72" s="31"/>
      <c r="F72" s="32"/>
      <c r="H72" s="33" t="s">
        <v>17</v>
      </c>
      <c r="I72" s="31"/>
      <c r="J72" s="32"/>
      <c r="K72" s="33" t="s">
        <v>8</v>
      </c>
      <c r="L72" s="31"/>
      <c r="M72" s="32"/>
    </row>
    <row r="73" spans="1:13" s="25" customFormat="1" ht="13.8" customHeight="1" x14ac:dyDescent="0.25">
      <c r="A73" s="3" t="s">
        <v>9</v>
      </c>
      <c r="B73" s="4" t="s">
        <v>10</v>
      </c>
      <c r="C73" s="4" t="s">
        <v>11</v>
      </c>
      <c r="D73" s="4" t="s">
        <v>12</v>
      </c>
      <c r="E73" s="4" t="s">
        <v>13</v>
      </c>
      <c r="F73" s="4" t="s">
        <v>14</v>
      </c>
      <c r="H73" s="3" t="s">
        <v>9</v>
      </c>
      <c r="I73" s="4" t="s">
        <v>10</v>
      </c>
      <c r="J73" s="4" t="s">
        <v>11</v>
      </c>
      <c r="K73" s="4" t="s">
        <v>12</v>
      </c>
      <c r="L73" s="4" t="s">
        <v>13</v>
      </c>
      <c r="M73" s="4" t="s">
        <v>14</v>
      </c>
    </row>
    <row r="74" spans="1:13" s="25" customFormat="1" ht="13.8" customHeight="1" x14ac:dyDescent="0.25">
      <c r="A74" s="8" t="s">
        <v>125</v>
      </c>
      <c r="B74" s="6"/>
      <c r="C74" s="6">
        <v>10</v>
      </c>
      <c r="D74" s="6">
        <f>+C74*2</f>
        <v>20</v>
      </c>
      <c r="E74" s="7">
        <v>6438.54</v>
      </c>
      <c r="F74" s="7">
        <f>+E74/1.21</f>
        <v>5321.1074380165292</v>
      </c>
      <c r="H74" s="8" t="s">
        <v>125</v>
      </c>
      <c r="I74" s="6"/>
      <c r="J74" s="6">
        <v>5</v>
      </c>
      <c r="K74" s="6">
        <f>+J74*2</f>
        <v>10</v>
      </c>
      <c r="L74" s="7">
        <v>6438.54</v>
      </c>
      <c r="M74" s="7">
        <f>+L74/1.21</f>
        <v>5321.1074380165292</v>
      </c>
    </row>
    <row r="75" spans="1:13" s="25" customFormat="1" ht="9.6" customHeight="1" x14ac:dyDescent="0.25"/>
    <row r="76" spans="1:13" s="25" customFormat="1" ht="13.8" customHeight="1" x14ac:dyDescent="0.25">
      <c r="A76" s="30" t="s">
        <v>153</v>
      </c>
      <c r="B76" s="31"/>
      <c r="C76" s="31"/>
      <c r="D76" s="31"/>
      <c r="E76" s="31"/>
      <c r="F76" s="32"/>
    </row>
    <row r="77" spans="1:13" s="25" customFormat="1" ht="13.8" customHeight="1" x14ac:dyDescent="0.25">
      <c r="A77" s="33" t="s">
        <v>154</v>
      </c>
      <c r="B77" s="31"/>
      <c r="C77" s="31"/>
      <c r="D77" s="31"/>
      <c r="E77" s="31"/>
      <c r="F77" s="32"/>
    </row>
    <row r="78" spans="1:13" s="25" customFormat="1" ht="13.8" customHeight="1" x14ac:dyDescent="0.25">
      <c r="A78" s="33" t="s">
        <v>150</v>
      </c>
      <c r="B78" s="31"/>
      <c r="C78" s="31"/>
      <c r="D78" s="31"/>
      <c r="E78" s="31"/>
      <c r="F78" s="32"/>
    </row>
    <row r="79" spans="1:13" s="25" customFormat="1" ht="13.8" customHeight="1" x14ac:dyDescent="0.25">
      <c r="A79" s="33" t="s">
        <v>17</v>
      </c>
      <c r="B79" s="31"/>
      <c r="C79" s="32"/>
      <c r="D79" s="33" t="s">
        <v>8</v>
      </c>
      <c r="E79" s="31"/>
      <c r="F79" s="32"/>
    </row>
    <row r="80" spans="1:13" s="25" customFormat="1" ht="13.8" customHeight="1" x14ac:dyDescent="0.25">
      <c r="A80" s="3" t="s">
        <v>9</v>
      </c>
      <c r="B80" s="4" t="s">
        <v>10</v>
      </c>
      <c r="C80" s="4" t="s">
        <v>11</v>
      </c>
      <c r="D80" s="4" t="s">
        <v>12</v>
      </c>
      <c r="E80" s="4" t="s">
        <v>13</v>
      </c>
      <c r="F80" s="4" t="s">
        <v>14</v>
      </c>
    </row>
    <row r="81" spans="1:16" s="29" customFormat="1" ht="13.8" customHeight="1" x14ac:dyDescent="0.25">
      <c r="A81" s="8" t="s">
        <v>42</v>
      </c>
      <c r="B81" s="6"/>
      <c r="C81" s="6">
        <v>5</v>
      </c>
      <c r="D81" s="6">
        <f>+C81*4</f>
        <v>20</v>
      </c>
      <c r="E81" s="7">
        <v>10644</v>
      </c>
      <c r="F81" s="7">
        <f t="shared" ref="F81" si="3">+E81/1.21</f>
        <v>8796.6942148760336</v>
      </c>
    </row>
    <row r="82" spans="1:16" s="29" customFormat="1" ht="9.6" customHeight="1" x14ac:dyDescent="0.25">
      <c r="A82" s="27"/>
      <c r="B82" s="28"/>
      <c r="C82" s="28"/>
      <c r="D82" s="28"/>
      <c r="E82" s="28"/>
      <c r="F82" s="28"/>
    </row>
    <row r="83" spans="1:16" s="29" customFormat="1" ht="13.8" customHeight="1" x14ac:dyDescent="0.25">
      <c r="A83" s="27"/>
      <c r="B83" s="28"/>
      <c r="C83" s="28"/>
      <c r="D83" s="28"/>
      <c r="E83" s="28"/>
      <c r="F83" s="28"/>
    </row>
    <row r="84" spans="1:16" s="29" customFormat="1" ht="13.8" customHeight="1" x14ac:dyDescent="0.25">
      <c r="A84" s="27"/>
      <c r="B84" s="28"/>
      <c r="C84" s="28"/>
      <c r="D84" s="28"/>
      <c r="E84" s="28"/>
      <c r="F84" s="28"/>
    </row>
    <row r="85" spans="1:16" s="29" customFormat="1" ht="13.8" customHeight="1" x14ac:dyDescent="0.25">
      <c r="A85" s="27"/>
      <c r="B85" s="28"/>
      <c r="C85" s="28"/>
      <c r="D85" s="28"/>
      <c r="E85" s="28"/>
      <c r="F85" s="28"/>
    </row>
    <row r="86" spans="1:16" s="29" customFormat="1" ht="13.8" customHeight="1" x14ac:dyDescent="0.25">
      <c r="A86" s="27"/>
      <c r="B86" s="28"/>
      <c r="C86" s="28"/>
      <c r="D86" s="28"/>
      <c r="E86" s="28"/>
      <c r="F86" s="28"/>
    </row>
    <row r="87" spans="1:16" s="25" customFormat="1" ht="13.8" customHeight="1" x14ac:dyDescent="0.25">
      <c r="A87" s="66" t="s">
        <v>99</v>
      </c>
      <c r="B87" s="24" t="s">
        <v>10</v>
      </c>
      <c r="C87" s="24" t="s">
        <v>11</v>
      </c>
      <c r="D87" s="24" t="s">
        <v>12</v>
      </c>
      <c r="E87" s="24" t="s">
        <v>100</v>
      </c>
      <c r="F87" s="23"/>
    </row>
    <row r="88" spans="1:16" s="25" customFormat="1" ht="13.8" customHeight="1" x14ac:dyDescent="0.25">
      <c r="A88" s="67"/>
      <c r="B88" s="9" t="e">
        <f>+#REF!+#REF!+#REF!+#REF!+#REF!+#REF!+#REF!+#REF!+#REF!+#REF!+#REF!+#REF!+#REF!+B10+#REF!+#REF!+#REF!+#REF!+#REF!+#REF!+#REF!+#REF!+#REF!+#REF!+#REF!</f>
        <v>#REF!</v>
      </c>
      <c r="C88" s="9" t="e">
        <f>+#REF!+#REF!+#REF!+#REF!+#REF!+#REF!+#REF!+#REF!+#REF!+#REF!+#REF!+#REF!+#REF!+C10+#REF!+#REF!+#REF!+#REF!+#REF!+#REF!+#REF!+#REF!+#REF!+#REF!+#REF!</f>
        <v>#REF!</v>
      </c>
      <c r="D88" s="9" t="e">
        <f>+#REF!+#REF!+#REF!+#REF!+#REF!+#REF!+#REF!+#REF!+#REF!+#REF!+#REF!+#REF!+#REF!+D10+#REF!+#REF!+#REF!+#REF!+#REF!+#REF!+#REF!+#REF!+#REF!+#REF!+#REF!</f>
        <v>#REF!</v>
      </c>
      <c r="E88" s="9" t="e">
        <f>+D88*4</f>
        <v>#REF!</v>
      </c>
      <c r="F88" s="23"/>
    </row>
    <row r="89" spans="1:16" s="25" customFormat="1" ht="13.8" customHeight="1" x14ac:dyDescent="0.25">
      <c r="A89" s="2"/>
      <c r="B89" s="2"/>
      <c r="C89" s="2"/>
      <c r="D89" s="2"/>
      <c r="E89" s="2"/>
      <c r="F89" s="2"/>
    </row>
    <row r="90" spans="1:16" s="25" customFormat="1" ht="13.8" customHeight="1" x14ac:dyDescent="0.25">
      <c r="A90" s="2"/>
      <c r="B90" s="2"/>
      <c r="C90" s="16"/>
      <c r="D90" s="2"/>
      <c r="E90" s="2"/>
      <c r="F90" s="2"/>
    </row>
    <row r="91" spans="1:16" s="25" customFormat="1" ht="13.8" customHeight="1" x14ac:dyDescent="0.25">
      <c r="A91" s="2"/>
      <c r="B91" s="2"/>
      <c r="C91" s="2"/>
      <c r="D91" s="2"/>
      <c r="E91" s="2"/>
      <c r="F91" s="2"/>
    </row>
    <row r="92" spans="1:16" s="23" customFormat="1" ht="13.8" customHeight="1" x14ac:dyDescent="0.25">
      <c r="A92" s="2"/>
      <c r="B92" s="2"/>
      <c r="C92" s="2"/>
      <c r="D92" s="2"/>
      <c r="E92" s="2"/>
      <c r="F92" s="2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s="23" customFormat="1" ht="13.8" customHeight="1" x14ac:dyDescent="0.25">
      <c r="A93" s="2"/>
      <c r="B93" s="2"/>
      <c r="C93" s="2"/>
      <c r="D93" s="2"/>
      <c r="E93" s="2"/>
      <c r="F93" s="2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ht="13.8" customHeight="1" x14ac:dyDescent="0.25">
      <c r="G94" s="23"/>
      <c r="H94" s="23"/>
    </row>
    <row r="95" spans="1:16" ht="13.8" customHeight="1" x14ac:dyDescent="0.25">
      <c r="G95" s="23"/>
      <c r="H95" s="23"/>
    </row>
  </sheetData>
  <mergeCells count="79">
    <mergeCell ref="A87:A88"/>
    <mergeCell ref="A27:F27"/>
    <mergeCell ref="A28:F28"/>
    <mergeCell ref="A25:M25"/>
    <mergeCell ref="A5:F5"/>
    <mergeCell ref="A6:F6"/>
    <mergeCell ref="A7:F7"/>
    <mergeCell ref="A8:C8"/>
    <mergeCell ref="D8:F8"/>
    <mergeCell ref="H27:M27"/>
    <mergeCell ref="H28:M28"/>
    <mergeCell ref="A29:F29"/>
    <mergeCell ref="A30:C30"/>
    <mergeCell ref="D30:F30"/>
    <mergeCell ref="H29:M29"/>
    <mergeCell ref="H30:J30"/>
    <mergeCell ref="A1:C1"/>
    <mergeCell ref="D1:F1"/>
    <mergeCell ref="H1:J1"/>
    <mergeCell ref="K1:M1"/>
    <mergeCell ref="A3:F3"/>
    <mergeCell ref="H3:M3"/>
    <mergeCell ref="K30:M30"/>
    <mergeCell ref="A36:F36"/>
    <mergeCell ref="A37:F37"/>
    <mergeCell ref="A38:F38"/>
    <mergeCell ref="A39:C39"/>
    <mergeCell ref="D39:F39"/>
    <mergeCell ref="H36:M36"/>
    <mergeCell ref="H37:M37"/>
    <mergeCell ref="H38:M38"/>
    <mergeCell ref="H39:J39"/>
    <mergeCell ref="K39:M39"/>
    <mergeCell ref="A47:F47"/>
    <mergeCell ref="A48:F48"/>
    <mergeCell ref="A49:F49"/>
    <mergeCell ref="A50:C50"/>
    <mergeCell ref="D50:F50"/>
    <mergeCell ref="H47:M47"/>
    <mergeCell ref="H48:M48"/>
    <mergeCell ref="H49:M49"/>
    <mergeCell ref="H50:J50"/>
    <mergeCell ref="K50:M50"/>
    <mergeCell ref="A59:F59"/>
    <mergeCell ref="A60:F60"/>
    <mergeCell ref="A61:F61"/>
    <mergeCell ref="A62:C62"/>
    <mergeCell ref="D62:F62"/>
    <mergeCell ref="H59:M59"/>
    <mergeCell ref="H60:M60"/>
    <mergeCell ref="H61:M61"/>
    <mergeCell ref="H62:J62"/>
    <mergeCell ref="K62:M62"/>
    <mergeCell ref="H5:M5"/>
    <mergeCell ref="H6:M6"/>
    <mergeCell ref="H7:M7"/>
    <mergeCell ref="H8:J8"/>
    <mergeCell ref="K8:M8"/>
    <mergeCell ref="H69:M69"/>
    <mergeCell ref="H70:M70"/>
    <mergeCell ref="H71:M71"/>
    <mergeCell ref="H72:J72"/>
    <mergeCell ref="K72:M72"/>
    <mergeCell ref="A69:F69"/>
    <mergeCell ref="A70:F70"/>
    <mergeCell ref="A71:F71"/>
    <mergeCell ref="A72:C72"/>
    <mergeCell ref="D72:F72"/>
    <mergeCell ref="A16:F16"/>
    <mergeCell ref="A17:C17"/>
    <mergeCell ref="D17:F17"/>
    <mergeCell ref="A12:M12"/>
    <mergeCell ref="A14:F14"/>
    <mergeCell ref="A15:F15"/>
    <mergeCell ref="A76:F76"/>
    <mergeCell ref="A77:F77"/>
    <mergeCell ref="A78:F78"/>
    <mergeCell ref="A79:C79"/>
    <mergeCell ref="D79:F79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Blanco</vt:lpstr>
      <vt:lpstr>QUESOS</vt:lpstr>
      <vt:lpstr>9-6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 Paulita</dc:creator>
  <cp:lastModifiedBy>Yo Paulita</cp:lastModifiedBy>
  <cp:lastPrinted>2026-06-12T13:18:31Z</cp:lastPrinted>
  <dcterms:created xsi:type="dcterms:W3CDTF">2023-06-23T11:39:38Z</dcterms:created>
  <dcterms:modified xsi:type="dcterms:W3CDTF">2026-06-12T13:18:33Z</dcterms:modified>
</cp:coreProperties>
</file>